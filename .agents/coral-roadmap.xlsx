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oadmap" sheetId="1" state="visible" r:id="rId1"/>
    <sheet name="Florin - my actions" sheetId="2" state="visible" r:id="rId2"/>
    <sheet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702"/>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P1</t>
        </is>
      </c>
      <c r="E2" s="2" t="inlineStr">
        <is>
          <t>Open</t>
        </is>
      </c>
      <c r="F2" s="2" t="inlineStr">
        <is>
          <t>coral-calendar.md:64</t>
        </is>
      </c>
      <c r="G2" s="2" t="inlineStr">
        <is>
          <t>Florin 2026-10-04: calendar needs a tree-shake review — it has fallen behind; not now unless it opens a security hole. Checked: events are read per user (userId), not cross-tenant; the browser cache (calendar-storage-v1) is not keyed by tenant — only matters on a shared browser / impersonation.</t>
        </is>
      </c>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Done</t>
        </is>
      </c>
      <c r="F20" s="2" t="inlineStr">
        <is>
          <t>coral-mem3-lazy-data.md</t>
        </is>
      </c>
      <c r="G20" s="2" t="inlineStr">
        <is>
          <t>Verified 2026-10-04: getGlobalPageIndex + pageIndex loaded in the admin and mobile layouts.</t>
        </is>
      </c>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Done</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 | logicalKey column + accessor landed 9ca8bb1; migration applied; 32 keyed.</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Done</t>
        </is>
      </c>
      <c r="F226" s="11" t="inlineStr">
        <is>
          <t>coral-r1-tenancy.md</t>
        </is>
      </c>
      <c r="G226" s="11" t="inlineStr">
        <is>
          <t>[P3.3] Was: denormalise tenantId column — WITHDRAWN | Planner 2026-10-01: resolveDatabaseId fail-closed in the kernel, all 11 callers converted — branch track-b/r1-2-kern-8. GATED on .agents/workflows/r1-2-binding-census.sql (Florin) Florin 2026-10-03: the Planner leads the binding census. 2026-10-04: branch merged with develop (clean; no new getLockedDbId users). Design change after ENT-FREE: TWO reads — resolveDatabaseId THROWS (writes), lookupDatabaseId returns null = ABSENT (screens, read paths; FREE has no library/projects/CRM). tsc lists 207 sites in 28 files to handle absence. Must-fix on the branch: Peppol inbox must never throw on a missing binding (never block receive); dashboard reads CRM roles. Census SQL for Florin: .agents/workflows/sql/r1-2-binding-census.sql. Shipped 2026-10-04 (4e04edf4): one resolver, fail-closed, no guessing. Census (Florin, 2026-10-04): 32/32 bindings OK on both tenants, so nothing throws today. The "absent" lookup for screens was dropped — needed only when ENT-FREE-1 stops provisioning. Peppol inbox can never be stopped by a missing binding.</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Done</t>
        </is>
      </c>
      <c r="F227" s="11" t="inlineStr">
        <is>
          <t>coral-r1-tenancy.md</t>
        </is>
      </c>
      <c r="G227" s="11" t="inlineStr">
        <is>
          <t>[P3.4] Revised after Florin review 2026-09-12 | Planner 2026-10-01: measured: the per-id ERP doors (pages.ts, global-databases.ts) already verify tenant ownership (TSC-4 era). Actor gap found → CREW-ERP-1</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In progress</t>
        </is>
      </c>
      <c r="F228" s="11" t="inlineStr">
        <is>
          <t>coral-r1-tenancy.md</t>
        </is>
      </c>
      <c r="G228" s="11" t="inlineStr">
        <is>
          <t>[P3.5] Revised after Florin review 2026-09-12 | Planner 2026-10-01: scopeWhere implemented + §2B/§2C contract now a build gate (6b0a37a); TenantScopedClient built + 14 tests (bd56156) — NOT adopted; branch track-b/r1-2-kern-8</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 | Planner 2026-10-01: next: adopt scopeFromSession file by file; direct prisma outside lib/data → CI failure. Florin decides the rollout</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Done</t>
        </is>
      </c>
      <c r="F231" s="11" t="inlineStr">
        <is>
          <t>coral-r2-write-path.md</t>
        </is>
      </c>
      <c r="G231" s="11" t="inlineStr">
        <is>
          <t>[P4.1] Written first · Coder c1d4de5 — DONE WITH CORRECTIONS: store tests kept; 11 copy-tests replaced by real occ-merge tests (OCC-MERGE-1).</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 · R2-1-CENSUS queued for the coder (33 direct GlobalPage writes, 18 files).</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Done</t>
        </is>
      </c>
      <c r="F264" s="11" t="inlineStr">
        <is>
          <t>coral-r1-tenancy.md</t>
        </is>
      </c>
      <c r="G264" s="11" t="inlineStr">
        <is>
          <t>SAME TASK AS KERN-6 / pass 3a. Planner rediscovered this independently on 2026-09-25 and wrote it up as new (KERN-6a). Tonight's version is wider: five lists, 74 parse sites. Verified 2026-10-04: same as KERN-6 — one table, derived lists.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Done</t>
        </is>
      </c>
      <c r="F274" s="11" t="inlineStr">
        <is>
          <t>coral-r2-write-path.md</t>
        </is>
      </c>
      <c r="G274" s="11" t="inlineStr">
        <is>
          <t>[P4.2] Landmine found 2026-09-12 Fixed 2026-10-04 (3ef2e9a): updatePageServerFirst returns the row's real blocks + blocksVersion.</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Done</t>
        </is>
      </c>
      <c r="F316" s="11" t="inlineStr">
        <is>
          <t>coral-promotion-plan.md</t>
        </is>
      </c>
      <c r="G316" s="11" t="inlineStr">
        <is>
          <t>99 commits behind Superseded 2026-10-04: develop/main separated again; every green commit promoted on its own SHA (promote.sh: CI + Vercel preview, schema ranges pushed by Florin).</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Done</t>
        </is>
      </c>
      <c r="F319" s="11" t="inlineStr">
        <is>
          <t>coral-promotion-plan.md</t>
        </is>
      </c>
      <c r="G319" s="11" t="inlineStr">
        <is>
          <t>Florin runs Superseded 2026-10-04: see PROMOTE-GATE.</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Done</t>
        </is>
      </c>
      <c r="F320" s="11" t="inlineStr">
        <is>
          <t>coral-promotion-plan.md</t>
        </is>
      </c>
      <c r="G320" s="11" t="inlineStr">
        <is>
          <t>pd.md Rule 8 Superseded 2026-10-04: see PROMOTE-GATE — the Vercel preview of the exact SHA is the staging pass.</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Done</t>
        </is>
      </c>
      <c r="F342" t="inlineStr">
        <is>
          <t>coral-r5-scheduled-work.md</t>
        </is>
      </c>
      <c r="G342" t="inlineStr">
        <is>
          <t>Fixed 2026-10-04 (7ef1e28): isCronRequest() — one check, fail-closed, constant-time; prod CRON_SECRET confirmed set.</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G348" t="inlineStr">
        <is>
          <t>Florin 2026-10-04: the SUPERADMIN MUST reach everything (no risk of being unable to debug a tenant) — the bypass is by design, NOT the defect. The defect is distribution: alternative = a gated DEBUG role (granted, time-boxed, audited — IMP-1/IMP-4) so superadmin is not handed out. The bypass itself must live in ONE place (ENT-4/ENT-9).</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GATE</t>
        </is>
      </c>
      <c r="I455" t="inlineStr">
        <is>
          <t>the seraph — resolver, logicalKey, scoped accessor</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GATE</t>
        </is>
      </c>
      <c r="I456" t="inlineStr">
        <is>
          <t>the seraph — resolver, logicalKey, scoped accessor</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GATE</t>
        </is>
      </c>
      <c r="I457" t="inlineStr">
        <is>
          <t>the seraph — resolver, logicalKey, scoped accessor</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t>
        </is>
      </c>
      <c r="I458" t="inlineStr">
        <is>
          <t>storage — the one blob door</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GATE</t>
        </is>
      </c>
      <c r="I460" t="inlineStr">
        <is>
          <t>the seraph — resolver, logicalKey, scoped accessor</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t>
        </is>
      </c>
      <c r="I462" t="inlineStr">
        <is>
          <t>identity — ids, roles, bindings</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GATE</t>
        </is>
      </c>
      <c r="I467" t="inlineStr">
        <is>
          <t>the seraph — resolver, logicalKey, scoped accessor</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GATE</t>
        </is>
      </c>
      <c r="I468" t="inlineStr">
        <is>
          <t>the seraph — resolver, logicalKey, scoped accessor</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GATE</t>
        </is>
      </c>
      <c r="I469" t="inlineStr">
        <is>
          <t>the seraph — resolver, logicalKey, scoped accessor</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t>
        </is>
      </c>
      <c r="I470" t="inlineStr">
        <is>
          <t>refusals — visible, never swallowed</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GATE</t>
        </is>
      </c>
      <c r="I471" t="inlineStr">
        <is>
          <t>the seraph — resolver, logicalKey, scoped accessor</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GATE</t>
        </is>
      </c>
      <c r="I472" t="inlineStr">
        <is>
          <t>the seraph — resolver, logicalKey, scoped accessor</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GATE</t>
        </is>
      </c>
      <c r="I474" t="inlineStr">
        <is>
          <t>the seraph — resolver, logicalKey, scoped accessor</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Done</t>
        </is>
      </c>
      <c r="F477" t="inlineStr">
        <is>
          <t>coral-walkdown-project-identity.md</t>
        </is>
      </c>
      <c r="G477" t="inlineStr">
        <is>
          <t>Ids are &lt;base&gt;-&lt;tenantSuffix&gt;; tenancy recovered via split('-'). Breaches IDENTITY DIRECTIVE. Delete the function, do not fix it — 4 fallback branches = it does not know the answer. Done 2026-10-04: getLockedDbId deleted (R1-2).</t>
        </is>
      </c>
      <c r="H477" t="inlineStr">
        <is>
          <t>L0</t>
        </is>
      </c>
      <c r="I477" t="inlineStr">
        <is>
          <t>identity — ids, roles, bindings</t>
        </is>
      </c>
    </row>
    <row r="478">
      <c r="A478" t="inlineStr">
        <is>
          <t>KERN-5a</t>
        </is>
      </c>
      <c r="B478" t="inlineStr">
        <is>
          <t>lockedDbUtils is CLIENT-SAFE by design — tenant db identity computed in the browser</t>
        </is>
      </c>
      <c r="C478" t="inlineStr">
        <is>
          <t>Kernel</t>
        </is>
      </c>
      <c r="D478" t="inlineStr">
        <is>
          <t>P0</t>
        </is>
      </c>
      <c r="E478" t="inlineStr">
        <is>
          <t>Done</t>
        </is>
      </c>
      <c r="F478" t="inlineStr">
        <is>
          <t>coral-walkdown-project-identity.md</t>
        </is>
      </c>
      <c r="G478" t="inlineStr">
        <is>
          <t>Imported by TenantContext.tsx and four m/* pages. Same defect as KERN-3, fixed for creation, missed for resolution. Done 2026-10-04: lockedDbUtils deleted; the browser reads the binding, computes nothing.</t>
        </is>
      </c>
      <c r="H478" t="inlineStr">
        <is>
          <t>L0</t>
        </is>
      </c>
      <c r="I478" t="inlineStr">
        <is>
          <t>identity — ids, roles, bindings</t>
        </is>
      </c>
    </row>
    <row r="479">
      <c r="A479" t="inlineStr">
        <is>
          <t>KERN-5b</t>
        </is>
      </c>
      <c r="B479" t="inlineStr">
        <is>
          <t>ZOMBIE: getLockedDbId's final fallback is `return base // Legacy FOUNDER fallback`</t>
        </is>
      </c>
      <c r="C479" t="inlineStr">
        <is>
          <t>Kernel</t>
        </is>
      </c>
      <c r="D479" t="inlineStr">
        <is>
          <t>P0</t>
        </is>
      </c>
      <c r="E479" t="inlineStr">
        <is>
          <t>Done</t>
        </is>
      </c>
      <c r="F479" t="inlineStr">
        <is>
          <t>coral-walkdown-project-identity.md</t>
        </is>
      </c>
      <c r="G479" t="inlineStr">
        <is>
          <t>The resolver's last answer works for the founder and points at a foreign/nonexistent db for everyone else. Sample size of one, shipped, in a comment. Done 2026-10-04: the founder fallback died with getLockedDbId.</t>
        </is>
      </c>
      <c r="H479" t="inlineStr">
        <is>
          <t>L0</t>
        </is>
      </c>
      <c r="I479" t="inlineStr">
        <is>
          <t>identity — ids, roles, bindings</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t>
        </is>
      </c>
      <c r="I480" t="inlineStr">
        <is>
          <t>identity — ids, roles, bindings</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GATE</t>
        </is>
      </c>
      <c r="I481" t="inlineStr">
        <is>
          <t>the seraph — resolver, logicalKey, scoped accessor</t>
        </is>
      </c>
    </row>
    <row r="482">
      <c r="A482" t="inlineStr">
        <is>
          <t>KERN-5d</t>
        </is>
      </c>
      <c r="B482" t="inlineStr">
        <is>
          <t>ZOMBIE LIVE: tenant 'Murgu, Catalin' has only 6 of 16 role bindings</t>
        </is>
      </c>
      <c r="C482" t="inlineStr">
        <is>
          <t>Kernel</t>
        </is>
      </c>
      <c r="D482" t="inlineStr">
        <is>
          <t>P0</t>
        </is>
      </c>
      <c r="E482" t="inlineStr">
        <is>
          <t>Done</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 Done 2026-10-04: census — Murgu now has all 16 bindings, each its own database.</t>
        </is>
      </c>
      <c r="H482" t="inlineStr">
        <is>
          <t>L0</t>
        </is>
      </c>
      <c r="I482" t="inlineStr">
        <is>
          <t>identity — ids, roles, bindings</t>
        </is>
      </c>
    </row>
    <row r="483">
      <c r="A483" t="inlineStr">
        <is>
          <t>KERN-5e</t>
        </is>
      </c>
      <c r="B483" t="inlineStr">
        <is>
          <t>Binding 'hr' -&gt; db-hr resolves to NOTHING for BV CORAL (resolves=0)</t>
        </is>
      </c>
      <c r="C483" t="inlineStr">
        <is>
          <t>Kernel</t>
        </is>
      </c>
      <c r="D483" t="inlineStr">
        <is>
          <t>P1</t>
        </is>
      </c>
      <c r="E483" t="inlineStr">
        <is>
          <t>Done</t>
        </is>
      </c>
      <c r="F483" t="inlineStr">
        <is>
          <t>coral-walkdown-project-identity.md</t>
        </is>
      </c>
      <c r="G483" t="inlineStr">
        <is>
          <t>A bound role pointing at a non-existent database. scope.systemDatabase('hr') must throw; today code queries a ghost id and gets silence. | CONFIRMED 2026-09-27: it is the single missing logicalKey (31 of 32). Pass 2 could not repair it — idempotency by binding skips a bound-but-dangling role. Fixed by R1-1c.2. | CLOSED by R1-1c: hr repointed to an opaque cuid with logicalKey set.</t>
        </is>
      </c>
      <c r="H483" t="inlineStr">
        <is>
          <t>L0</t>
        </is>
      </c>
      <c r="I483" t="inlineStr">
        <is>
          <t>identity — ids, roles, bindings</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t>
        </is>
      </c>
      <c r="I484" t="inlineStr">
        <is>
          <t>identity — ids, roles, bindings</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process &amp; housekeeping</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t>
        </is>
      </c>
      <c r="I486" t="inlineStr">
        <is>
          <t>identity — ids, roles, bindings</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t>
        </is>
      </c>
      <c r="I487" t="inlineStr">
        <is>
          <t>identity — ids, roles, bindings</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t>
        </is>
      </c>
      <c r="I488" t="inlineStr">
        <is>
          <t>identity — ids, roles, bindings</t>
        </is>
      </c>
    </row>
    <row r="489">
      <c r="A489" t="inlineStr">
        <is>
          <t>KERN-5j</t>
        </is>
      </c>
      <c r="B489" t="inlineStr">
        <is>
          <t>BACKFILL bindings for both tenants (Florin, after K2)</t>
        </is>
      </c>
      <c r="C489" t="inlineStr">
        <is>
          <t>Kernel</t>
        </is>
      </c>
      <c r="D489" t="inlineStr">
        <is>
          <t>P0</t>
        </is>
      </c>
      <c r="E489" t="inlineStr">
        <is>
          <t>Done</t>
        </is>
      </c>
      <c r="F489" t="inlineStr">
        <is>
          <t>coder-directive-kern-5-vocabulary.md</t>
        </is>
      </c>
      <c r="G489" t="inlineStr">
        <is>
          <t>Precondition for deleting getLockedDbId. Without it the refusal is loud instead of correct. Done 2026-10-04: census — both tenants fully bound; no backfill needed.</t>
        </is>
      </c>
      <c r="H489" t="inlineStr">
        <is>
          <t>L0</t>
        </is>
      </c>
      <c r="I489" t="inlineStr">
        <is>
          <t>identity — ids, roles, bindings</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t>
        </is>
      </c>
      <c r="I491" t="inlineStr">
        <is>
          <t>identity — ids, roles, bindings</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t>
        </is>
      </c>
      <c r="I492" t="inlineStr">
        <is>
          <t>identity — ids, roles, bindings</t>
        </is>
      </c>
    </row>
    <row r="493">
      <c r="A493" t="inlineStr">
        <is>
          <t>KERN-6</t>
        </is>
      </c>
      <c r="B493" t="inlineStr">
        <is>
          <t>PASS 3a: one SYSTEM_DATABASES table; the other four lists become derived</t>
        </is>
      </c>
      <c r="C493" t="inlineStr">
        <is>
          <t>Kernel</t>
        </is>
      </c>
      <c r="D493" t="inlineStr">
        <is>
          <t>P0</t>
        </is>
      </c>
      <c r="E493" t="inlineStr">
        <is>
          <t>Done</t>
        </is>
      </c>
      <c r="F493" t="inlineStr">
        <is>
          <t>coral-id-parsing-decomposition.md</t>
        </is>
      </c>
      <c r="G493" t="inlineStr">
        <is>
          <t>Five lists, five lengths: 16/16/14/8/6. Not five bugs — one missing table with columns (role, legacyBase, displayName, module). Verified 2026-10-04: one SYSTEM_DATABASES table; the other lists are derived (16 each, tested).</t>
        </is>
      </c>
      <c r="H493" t="inlineStr">
        <is>
          <t>L0</t>
        </is>
      </c>
      <c r="I493" t="inlineStr">
        <is>
          <t>identity — ids, roles, bindings</t>
        </is>
      </c>
    </row>
    <row r="494">
      <c r="A494" t="inlineStr">
        <is>
          <t>KERN-6a</t>
        </is>
      </c>
      <c r="B494" t="inlineStr">
        <is>
          <t>LIVE: SYSTEM_DB_PREFIXES omits journal-general and hr (14 of 16)</t>
        </is>
      </c>
      <c r="C494" t="inlineStr">
        <is>
          <t>Kernel</t>
        </is>
      </c>
      <c r="D494" t="inlineStr">
        <is>
          <t>P0</t>
        </is>
      </c>
      <c r="E494" t="inlineStr">
        <is>
          <t>Done</t>
        </is>
      </c>
      <c r="F494" t="inlineStr">
        <is>
          <t>coral-id-parsing-decomposition.md</t>
        </is>
      </c>
      <c r="G494" t="inlineStr">
        <is>
          <t>isSystemDatabase('db-hr') === false -&gt; createPageServerFirst does not resolve them through the book; requiredModuleForDb does not gate them. Verified 2026-10-04: SYSTEM_DB_PREFIXES derived from the 16 roles.</t>
        </is>
      </c>
      <c r="H494" t="inlineStr">
        <is>
          <t>L0</t>
        </is>
      </c>
      <c r="I494" t="inlineStr">
        <is>
          <t>identity — ids, roles, bindings</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t>
        </is>
      </c>
      <c r="I495" t="inlineStr">
        <is>
          <t>identity — ids, roles, bindings</t>
        </is>
      </c>
    </row>
    <row r="496">
      <c r="A496" t="inlineStr">
        <is>
          <t>KERN-6c</t>
        </is>
      </c>
      <c r="B496" t="inlineStr">
        <is>
          <t>ENTITLEMENT decided by prefix-match: requiredModuleForDb (pages.ts:26)</t>
        </is>
      </c>
      <c r="C496" t="inlineStr">
        <is>
          <t>Kernel</t>
        </is>
      </c>
      <c r="D496" t="inlineStr">
        <is>
          <t>P0</t>
        </is>
      </c>
      <c r="E496" t="inlineStr">
        <is>
          <t>Done</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 Verified 2026-10-04: no prefix-match gate left; the create door gates by role through systemDatabaseEntitled().</t>
        </is>
      </c>
      <c r="H496" t="inlineStr">
        <is>
          <t>MODULE GATE</t>
        </is>
      </c>
      <c r="I496" t="inlineStr">
        <is>
          <t>entitlement — vocabulary &amp; grants</t>
        </is>
      </c>
    </row>
    <row r="497">
      <c r="A497" t="inlineStr">
        <is>
          <t>KERN-7</t>
        </is>
      </c>
      <c r="B497" t="inlineStr">
        <is>
          <t>PASS 3b SPLIT: 7a ratchet (ready now) · 7b conversions (blocked on the R1-1b migration)</t>
        </is>
      </c>
      <c r="C497" t="inlineStr">
        <is>
          <t>Kernel</t>
        </is>
      </c>
      <c r="D497" t="inlineStr">
        <is>
          <t>P0</t>
        </is>
      </c>
      <c r="E497" t="inlineStr">
        <is>
          <t>Open</t>
        </is>
      </c>
      <c r="F497" t="inlineStr">
        <is>
          <t>coder-directive-kern-7a-parse-ratchet.md</t>
        </is>
      </c>
      <c r="G497" t="inlineStr">
        <is>
          <t>74 sites / 28 files. split('-') deliberately EXCLUDED from the rule: only 2 of its 9 sites parse a database id (both in lockedDbUtils.ts, deleted in 3c); the other 7 parse dates, projectCode and payment terms. A blanket ban would be 7 false positives — a rule that over-reaches gets disabled.</t>
        </is>
      </c>
      <c r="H497" t="inlineStr">
        <is>
          <t>L0</t>
        </is>
      </c>
      <c r="I497" t="inlineStr">
        <is>
          <t>identity — ids, roles, bindings</t>
        </is>
      </c>
    </row>
    <row r="498">
      <c r="A498" t="inlineStr">
        <is>
          <t>KERN-8</t>
        </is>
      </c>
      <c r="B498" t="inlineStr">
        <is>
          <t>PASS 3c: delete getLockedDbId + lockedDbUtils + resolve.ts prefix searches</t>
        </is>
      </c>
      <c r="C498" t="inlineStr">
        <is>
          <t>Kernel</t>
        </is>
      </c>
      <c r="D498" t="inlineStr">
        <is>
          <t>P1</t>
        </is>
      </c>
      <c r="E498" t="inlineStr">
        <is>
          <t>Done</t>
        </is>
      </c>
      <c r="F498" t="inlineStr">
        <is>
          <t>coral-id-parsing-decomposition.md</t>
        </is>
      </c>
      <c r="G498" t="inlineStr">
        <is>
          <t>Only when 3b's allowlist reaches zero. Gated on the R1-1b relation-target measurement. | Planner 2026-10-01: getLockedDbId + lockedDbUtils deleted, resolve.ts prefix searches deleted — on branch track-b/r1-2-kern-8 (b7e5853); ships with R1-2 Shipped 2026-10-04 with R1-2: getLockedDbId + lockedDbUtils + resolve.ts prefix searches deleted.</t>
        </is>
      </c>
      <c r="H498" t="inlineStr">
        <is>
          <t>L0</t>
        </is>
      </c>
      <c r="I498" t="inlineStr">
        <is>
          <t>identity — ids, roles, bindings</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t>
        </is>
      </c>
      <c r="I499" t="inlineStr">
        <is>
          <t>relations — targets &amp; resolution</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process &amp; housekeeping</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t>
        </is>
      </c>
      <c r="I501" t="inlineStr">
        <is>
          <t>relations — targets &amp; resolution</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t>
        </is>
      </c>
      <c r="I502" t="inlineStr">
        <is>
          <t>relations — targets &amp; resolution</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t>
        </is>
      </c>
      <c r="I503" t="inlineStr">
        <is>
          <t>identity — ids, roles, bindings</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process &amp; housekeeping</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GATE</t>
        </is>
      </c>
      <c r="I505" t="inlineStr">
        <is>
          <t>the seraph — resolver, logicalKey, scoped accessor</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MODULE GATE</t>
        </is>
      </c>
      <c r="I506" t="inlineStr">
        <is>
          <t>entitlement — vocabulary &amp; grants</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t>
        </is>
      </c>
      <c r="I507" t="inlineStr">
        <is>
          <t>CRM / pipeline</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MODULE GATE</t>
        </is>
      </c>
      <c r="I508" t="inlineStr">
        <is>
          <t>entitlement — vocabulary &amp; grants</t>
        </is>
      </c>
    </row>
    <row r="509">
      <c r="A509" t="inlineStr">
        <is>
          <t>ENT-6</t>
        </is>
      </c>
      <c r="B509" t="inlineStr">
        <is>
          <t>🔴 FREE tenant can CREATE in 14 of 16 system databases — 8 roles have no gate</t>
        </is>
      </c>
      <c r="C509" t="inlineStr">
        <is>
          <t>Entitlement</t>
        </is>
      </c>
      <c r="D509" t="inlineStr">
        <is>
          <t>P0</t>
        </is>
      </c>
      <c r="E509" t="inlineStr">
        <is>
          <t>Done</t>
        </is>
      </c>
      <c r="F509" t="inlineStr">
        <is>
          <t>coral-walkdown-entitlement.md</t>
        </is>
      </c>
      <c r="G509" t="inlineStr">
        <is>
          <t>Murgu (FREE, INVOICING only) has write access to projects, tasks, articles, crm, bobex, bestek, journal-general, hr. Not a decision anyone made — absence of a gate read as permission. Fixed 2026-10-04 (47f7b62): one rule systemDatabaseEntitled() over SYSTEM_DATABASES.module, read by the create door and the reconcile; journal-general explicitly ungated.</t>
        </is>
      </c>
      <c r="H509" t="inlineStr">
        <is>
          <t>MODULE GATE</t>
        </is>
      </c>
      <c r="I509" t="inlineStr">
        <is>
          <t>entitlement — vocabulary &amp; grants</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t>
        </is>
      </c>
      <c r="I510" t="inlineStr">
        <is>
          <t>Finance — 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 Florin 2026-10-03: finish the features first, then decide what is grantable. WEBSITES/EMAIL ideally become nice-to-haves that sweeten upgrades. PRO happy path: website (lead-capture form) → lead (pipeline) ⇄ mail → quote → project → portal. Tease and squeeze, never past ethics.</t>
        </is>
      </c>
      <c r="H511" t="inlineStr">
        <is>
          <t>MODULE GATE</t>
        </is>
      </c>
      <c r="I511" t="inlineStr">
        <is>
          <t>entitlement — vocabulary &amp; grants</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MODULE GATE</t>
        </is>
      </c>
      <c r="I512" t="inlineStr">
        <is>
          <t>entitlement — vocabulary &amp; grants</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t>
        </is>
      </c>
      <c r="I513" t="inlineStr">
        <is>
          <t>entitlement — vocabulary &amp; grants</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t>
        </is>
      </c>
      <c r="I514" t="inlineStr">
        <is>
          <t>entitlement — vocabulary &amp; grants</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t>
        </is>
      </c>
      <c r="I515" t="inlineStr">
        <is>
          <t>entitlement — vocabulary &amp; grants</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t>
        </is>
      </c>
      <c r="I516" t="inlineStr">
        <is>
          <t>shells &amp; navigation — WorkHubShell</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t>
        </is>
      </c>
      <c r="I517" t="inlineStr">
        <is>
          <t>entitlement — vocabulary &amp; grants</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t>
        </is>
      </c>
      <c r="I518" t="inlineStr">
        <is>
          <t>entitlement — vocabulary &amp; grants</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t>
        </is>
      </c>
      <c r="I519" t="inlineStr">
        <is>
          <t>entitlement — vocabulary &amp; grants</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MODULE GATE</t>
        </is>
      </c>
      <c r="I520" t="inlineStr">
        <is>
          <t>entitlement — vocabulary &amp; grants</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t>
        </is>
      </c>
      <c r="I521" t="inlineStr">
        <is>
          <t>entitlement — vocabulary &amp; grants</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 &amp; tiers</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t>
        </is>
      </c>
      <c r="I523" t="inlineStr">
        <is>
          <t>entitlement — vocabulary &amp; grants</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 2026-10-04: no longer zero readers — stripe.ts:200 reads it for the Peppol overage. Two Peppol tables still disagree; which survives is open in the feature matrix.</t>
        </is>
      </c>
      <c r="H524" t="inlineStr">
        <is>
          <t>MODULE GATE</t>
        </is>
      </c>
      <c r="I524" t="inlineStr">
        <is>
          <t>entitlement — vocabulary &amp; grants</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MODULE GATE</t>
        </is>
      </c>
      <c r="I525" t="inlineStr">
        <is>
          <t>entitlement — vocabulary &amp; grants</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MODULE GATE</t>
        </is>
      </c>
      <c r="I526" t="inlineStr">
        <is>
          <t>entitlement — vocabulary &amp; grants</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MODULE GATE</t>
        </is>
      </c>
      <c r="I527" t="inlineStr">
        <is>
          <t>entitlement — vocabulary &amp; grants</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t>
        </is>
      </c>
      <c r="I528" t="inlineStr">
        <is>
          <t>Library module</t>
        </is>
      </c>
    </row>
    <row r="529">
      <c r="A529" t="inlineStr">
        <is>
          <t>TRIAL-1</t>
        </is>
      </c>
      <c r="B529" t="inlineStr">
        <is>
          <t>Trial is an ENTITLEMENT OVERLAY — it must never write planType</t>
        </is>
      </c>
      <c r="C529" t="inlineStr">
        <is>
          <t>Billing</t>
        </is>
      </c>
      <c r="D529" t="inlineStr">
        <is>
          <t>P1</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 Demoted P0→P1 2026-10-04: trial mode is parked (TRIAL_MODE_ENABLED = false), so no tenant can hit it. Must be fixed BEFORE trials are switched back on.</t>
        </is>
      </c>
      <c r="H529" t="inlineStr">
        <is>
          <t>MODULE GATE</t>
        </is>
      </c>
      <c r="I529" t="inlineStr">
        <is>
          <t>entitlement — vocabulary &amp; grants</t>
        </is>
      </c>
    </row>
    <row r="530">
      <c r="A530" t="inlineStr">
        <is>
          <t>TRIAL-2</t>
        </is>
      </c>
      <c r="B530" t="inlineStr">
        <is>
          <t>🔴 Trial expiry currently sets PAST_DUE then INACTIVE — a payment failure, then a block</t>
        </is>
      </c>
      <c r="C530" t="inlineStr">
        <is>
          <t>Billing</t>
        </is>
      </c>
      <c r="D530" t="inlineStr">
        <is>
          <t>P1</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 Demoted P0→P1 2026-10-04: see TRIAL-1.</t>
        </is>
      </c>
      <c r="H530" t="inlineStr">
        <is>
          <t>MODULE GATE</t>
        </is>
      </c>
      <c r="I530" t="inlineStr">
        <is>
          <t>entitlement — vocabulary &amp; grants</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MODULE GATE</t>
        </is>
      </c>
      <c r="I531" t="inlineStr">
        <is>
          <t>entitlement — vocabulary &amp; grants</t>
        </is>
      </c>
    </row>
    <row r="532">
      <c r="A532" t="inlineStr">
        <is>
          <t>TRIAL-4</t>
        </is>
      </c>
      <c r="B532" t="inlineStr">
        <is>
          <t>PRO tenant trialling ENTERPRISE is INEXPRESSIBLE in the current model</t>
        </is>
      </c>
      <c r="C532" t="inlineStr">
        <is>
          <t>Billing</t>
        </is>
      </c>
      <c r="D532" t="inlineStr">
        <is>
          <t>P1</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 Demoted P0→P1 2026-10-04: see TRIAL-1.</t>
        </is>
      </c>
      <c r="H532" t="inlineStr">
        <is>
          <t>MODULE GATE</t>
        </is>
      </c>
      <c r="I532" t="inlineStr">
        <is>
          <t>entitlement — vocabulary &amp; grants</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MODULE GATE</t>
        </is>
      </c>
      <c r="I533" t="inlineStr">
        <is>
          <t>entitlement — vocabulary &amp; grants</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MODULE GATE</t>
        </is>
      </c>
      <c r="I534" t="inlineStr">
        <is>
          <t>entitlement — vocabulary &amp; grants</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t>
        </is>
      </c>
      <c r="I535" t="inlineStr">
        <is>
          <t>WorkHub / time-tracker</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process &amp; housekeeping</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process &amp; housekeeping</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process &amp; housekeeping</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process &amp; housekeeping</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process &amp; housekeeping</t>
        </is>
      </c>
    </row>
    <row r="541">
      <c r="A541" t="inlineStr">
        <is>
          <t>WH-0</t>
        </is>
      </c>
      <c r="B541" t="inlineStr">
        <is>
          <t>🔴 KEYSTONE: the app's shadcn kit (52 files) imports cn() from INSIDE the time-tracker</t>
        </is>
      </c>
      <c r="C541" t="inlineStr">
        <is>
          <t>WorkHub</t>
        </is>
      </c>
      <c r="D541" t="inlineStr">
        <is>
          <t>P0</t>
        </is>
      </c>
      <c r="E541" t="inlineStr">
        <is>
          <t>Done</t>
        </is>
      </c>
      <c r="F541" t="inlineStr">
        <is>
          <t>coral-workhub-scope.md</t>
        </is>
      </c>
      <c r="G541" t="inlineStr">
        <is>
          <t>src/lib/utils.ts does not exist. time-tracker/lib/utils.ts is 7 lines of cn(). The design system depends on the module we are deciding whether to delete. Fixing this removes 73% of the apparent coupling. Verified 2026-10-04: src/lib/utils.ts exists; nothing imports time-tracker/lib/utils.</t>
        </is>
      </c>
      <c r="H541" t="inlineStr">
        <is>
          <t>L0</t>
        </is>
      </c>
      <c r="I541" t="inlineStr">
        <is>
          <t>shared plumbing — cn, theme, hr-api</t>
        </is>
      </c>
    </row>
    <row r="542">
      <c r="A542" t="inlineStr">
        <is>
          <t>WH-1</t>
        </is>
      </c>
      <c r="B542" t="inlineStr">
        <is>
          <t>STEP 1: extract the plumbing — cn, use-toast, use-mobile, ThemeContext, hr-api</t>
        </is>
      </c>
      <c r="C542" t="inlineStr">
        <is>
          <t>WorkHub</t>
        </is>
      </c>
      <c r="D542" t="inlineStr">
        <is>
          <t>P0</t>
        </is>
      </c>
      <c r="E542" t="inlineStr">
        <is>
          <t>Done</t>
        </is>
      </c>
      <c r="F542" t="inlineStr">
        <is>
          <t>coral-workhub-scope.md</t>
        </is>
      </c>
      <c r="G542" t="inlineStr">
        <is>
          <t>Do this whatever is decided. Moves and repoints, no logic. Afterwards the module has 8 inbound imports and repair-vs-rebuild becomes reversible. | Landed 1ea37cf — inbound imports 71 -&gt; 12.</t>
        </is>
      </c>
      <c r="H542" t="inlineStr">
        <is>
          <t>L0</t>
        </is>
      </c>
      <c r="I542" t="inlineStr">
        <is>
          <t>shared plumbing — cn, theme, hr-api</t>
        </is>
      </c>
    </row>
    <row r="543">
      <c r="A543" t="inlineStr">
        <is>
          <t>WH-2</t>
        </is>
      </c>
      <c r="B543" t="inlineStr">
        <is>
          <t>DECISION: repair / rebuild-the-editor / rebuild-the-module</t>
        </is>
      </c>
      <c r="C543" t="inlineStr">
        <is>
          <t>WorkHub</t>
        </is>
      </c>
      <c r="D543" t="inlineStr">
        <is>
          <t>P0</t>
        </is>
      </c>
      <c r="E543" t="inlineStr">
        <is>
          <t>In progress</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 | BETTER DECIDED AFTER TD-0: the real error count across 21 files is the missing input. A file needing 40 exceptions argues rebuild; one needing 3 argues repair. | Planner 2026-09-30: Crew-native screens: Time Off, My hours, My tasks, Documents, Profile, Shift Brief (37e9036…499e165). Home still the admin Index component.</t>
        </is>
      </c>
      <c r="H543" t="inlineStr">
        <is>
          <t>L2</t>
        </is>
      </c>
      <c r="I543" t="inlineStr">
        <is>
          <t>WorkHub / time-tracker</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 | OVERTAKEN 2026-09-28 by INC-1: the shift-consuming files are correctness work now, not tidying.</t>
        </is>
      </c>
      <c r="H544" t="inlineStr">
        <is>
          <t>L2</t>
        </is>
      </c>
      <c r="I544" t="inlineStr">
        <is>
          <t>WorkHub / time-tracker</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t>
        </is>
      </c>
      <c r="I545" t="inlineStr">
        <is>
          <t>WorkHub / time-tracker</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process &amp; housekeeping</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t>
        </is>
      </c>
      <c r="I547" t="inlineStr">
        <is>
          <t>HR — 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t>
        </is>
      </c>
      <c r="I548" t="inlineStr">
        <is>
          <t>WorkHub / time-tracker</t>
        </is>
      </c>
    </row>
    <row r="549">
      <c r="A549" t="inlineStr">
        <is>
          <t>WH-6</t>
        </is>
      </c>
      <c r="B549" t="inlineStr">
        <is>
          <t>🔴 ACTOR REACH is the second gate below the seraph — and it does not exist structurally</t>
        </is>
      </c>
      <c r="C549" t="inlineStr">
        <is>
          <t>WorkHub</t>
        </is>
      </c>
      <c r="D549" t="inlineStr">
        <is>
          <t>P0</t>
        </is>
      </c>
      <c r="E549" t="inlineStr">
        <is>
          <t>Done</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 Verified 2026-10-04: getAccessibleUserIds is tenant-constrained (team: {tenantId}); actor-reach.ts exists and gates the HR routes, write-policy, timesheet reports/export/rates.</t>
        </is>
      </c>
      <c r="H549" t="inlineStr">
        <is>
          <t>GATE</t>
        </is>
      </c>
      <c r="I549" t="inlineStr">
        <is>
          <t>the seraph — resolver, logicalKey, scoped accessor</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 | STRONGER JUSTIFICATION (CSF-1, 2026-09-28): the ~900-line form exists TWICE in one file. Both CSF-1 defects are a fix that landed on one copy and not the other — and the copy that missed both is the matrix-+ path, which is the one actually used. | SCOPE REDUCED: ShiftViewDialog is deleted by WH-UI-1, so WH-7 is CreateShiftForm + EditShiftDialog — 2,882 lines, not 3,508. Florin 2026-10-03: build on the kernel time functions now (do not wait for KERN-TIME).</t>
        </is>
      </c>
      <c r="H550" t="inlineStr">
        <is>
          <t>L2</t>
        </is>
      </c>
      <c r="I550" t="inlineStr">
        <is>
          <t>WorkHub / time-tracker</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t>
        </is>
      </c>
      <c r="I551" t="inlineStr">
        <is>
          <t>WorkHub / time-tracker</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t>
        </is>
      </c>
      <c r="I552" t="inlineStr">
        <is>
          <t>write path — one door</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t>
        </is>
      </c>
      <c r="I553" t="inlineStr">
        <is>
          <t>time — duration, the break rule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t>
        </is>
      </c>
      <c r="I554" t="inlineStr">
        <is>
          <t>write path — one door</t>
        </is>
      </c>
    </row>
    <row r="555">
      <c r="A555" t="inlineStr">
        <is>
          <t>WH-12</t>
        </is>
      </c>
      <c r="B555" t="inlineStr">
        <is>
          <t>IDENTITY MODEL DEFINED (Florin 2026-09-28) — not a collapse</t>
        </is>
      </c>
      <c r="C555" t="inlineStr">
        <is>
          <t>WorkHub</t>
        </is>
      </c>
      <c r="D555" t="inlineStr">
        <is>
          <t>P0</t>
        </is>
      </c>
      <c r="E555" t="inlineStr">
        <is>
          <t>Decided</t>
        </is>
      </c>
      <c r="F555" t="inlineStr">
        <is>
          <t>coral-workhub-structure.md</t>
        </is>
      </c>
      <c r="G555" t="inlineStr">
        <is>
          <t>User = anyone who logs into the ERP. Two role axes: FUNCTIONAL (superadmin, tenant admin, ERP operator, tenant employee) and OPERATIONAL/HIERARCHICAL (director, HR, team leader, workforce — tenant-specific), the latter governing module access. Employee = a person in the company structure; db-hr = a projection joining them. THREE CONCEPTS, ALL LEGITIMATE. Planner had wrongly proposed collapsing to one — see pd.md 4z.</t>
        </is>
      </c>
      <c r="H555" t="inlineStr">
        <is>
          <t>L1</t>
        </is>
      </c>
      <c r="I555" t="inlineStr">
        <is>
          <t>identity — ids, roles, bindings</t>
        </is>
      </c>
    </row>
    <row r="556">
      <c r="A556" t="inlineStr">
        <is>
          <t>WH-13</t>
        </is>
      </c>
      <c r="B556" t="inlineStr">
        <is>
          <t>REQUIREMENT: clock WITHOUT a shift must remain — Florin: 'very important'</t>
        </is>
      </c>
      <c r="C556" t="inlineStr">
        <is>
          <t>WorkHub</t>
        </is>
      </c>
      <c r="D556" t="inlineStr">
        <is>
          <t>P0</t>
        </is>
      </c>
      <c r="E556" t="inlineStr">
        <is>
          <t>Done</t>
        </is>
      </c>
      <c r="F556" t="inlineStr">
        <is>
          <t>coral-workhub-structure.md</t>
        </is>
      </c>
      <c r="G556" t="inlineStr">
        <is>
          <t>Reachable today only from ClockButton on the workhub home; NOT from a shift card. Any rebuild must preserve it as a first-class path. | Planner 2026-09-30: no-shift path kept; clock-in without shift always available (24cec9c)</t>
        </is>
      </c>
      <c r="H556" t="inlineStr">
        <is>
          <t>L2</t>
        </is>
      </c>
      <c r="I556" t="inlineStr">
        <is>
          <t>WorkHub / time-tracker</t>
        </is>
      </c>
    </row>
    <row r="557">
      <c r="A557" t="inlineStr">
        <is>
          <t>WH-13a</t>
        </is>
      </c>
      <c r="B557" t="inlineStr">
        <is>
          <t>🔴 ad-hoc shift fabricates shiftEnd '17:00' and carries NO projectId</t>
        </is>
      </c>
      <c r="C557" t="inlineStr">
        <is>
          <t>WorkHub</t>
        </is>
      </c>
      <c r="D557" t="inlineStr">
        <is>
          <t>P0</t>
        </is>
      </c>
      <c r="E557" t="inlineStr">
        <is>
          <t>Done</t>
        </is>
      </c>
      <c r="F557" t="inlineStr">
        <is>
          <t>coral-workhub-structure.md</t>
        </is>
      </c>
      <c r="G557" t="inlineStr">
        <is>
          <t>useScheduledShifts.ts:214. Hours attach to a shift attached to no job — 'mid air' by construction. The end time is invented regardless of reality. Fixed 2026-10-04 (f32518b5): NO ad-hoc shifts (Florin) — the clock button no longer invents a shift; a clock-in without a planned shift is recorded as such, pending approval, note required at clock-out; the admin plans a shift in the past to match. Selecting an existing shift unchanged.</t>
        </is>
      </c>
      <c r="H557" t="inlineStr">
        <is>
          <t>L2</t>
        </is>
      </c>
      <c r="I557" t="inlineStr">
        <is>
          <t>WorkHub / time-tracker</t>
        </is>
      </c>
    </row>
    <row r="558">
      <c r="A558" t="inlineStr">
        <is>
          <t>WH-13b</t>
        </is>
      </c>
      <c r="B558" t="inlineStr">
        <is>
          <t>🔴 ORPHAN GENERATOR: entry created first, linked by a separate PATCH afterwards</t>
        </is>
      </c>
      <c r="C558" t="inlineStr">
        <is>
          <t>WorkHub</t>
        </is>
      </c>
      <c r="D558" t="inlineStr">
        <is>
          <t>P0</t>
        </is>
      </c>
      <c r="E558" t="inlineStr">
        <is>
          <t>Done</t>
        </is>
      </c>
      <c r="F558" t="inlineStr">
        <is>
          <t>coral-workhub-structure.md</t>
        </is>
      </c>
      <c r="G558" t="inlineStr">
        <is>
          <t>ClockButton:117-122. If the PATCH fails (dead network — the exact condition) the entry is saved unlinked. Likely source of some of the 11 orphans alongside late entry. Must be ONE atomic intent (WH-11). Fixed 2026-10-04 (f32518b5): the separate link PATCH is gone with the ad-hoc shift — a clock-in carries its shiftId in the one create, or none.</t>
        </is>
      </c>
      <c r="H558" t="inlineStr">
        <is>
          <t>L1</t>
        </is>
      </c>
      <c r="I558" t="inlineStr">
        <is>
          <t>write path — one door</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t>
        </is>
      </c>
      <c r="I559" t="inlineStr">
        <is>
          <t>WorkHub / time-tracker</t>
        </is>
      </c>
    </row>
    <row r="560">
      <c r="A560" t="inlineStr">
        <is>
          <t>WH-15</t>
        </is>
      </c>
      <c r="B560" t="inlineStr">
        <is>
          <t>SPECCED: the shift brief — one server accessor, shiftBrief(scope, shiftId)</t>
        </is>
      </c>
      <c r="C560" t="inlineStr">
        <is>
          <t>WorkHub</t>
        </is>
      </c>
      <c r="D560" t="inlineStr">
        <is>
          <t>P1</t>
        </is>
      </c>
      <c r="E560" t="inlineStr">
        <is>
          <t>Open</t>
        </is>
      </c>
      <c r="F560" t="inlineStr">
        <is>
          <t>coral-workhub-structure.md</t>
        </is>
      </c>
      <c r="G560" t="inlineStr">
        <is>
          <t>Title (3-step fallback), address-&gt;map, contact name+phone-&gt;dial, scheduled, worked (from clockEntries via computeWorkedDuration), photos (clock entry JSON), files (ShiftAttachment). Phone is a TWO-HOP lookup: shift -&gt; project page -&gt; Klant relation -&gt; client page -&gt; Telefoon. Hence ONE server accessor, not 3+ client round trips on a site connection. Follows the WH-5a pattern.</t>
        </is>
      </c>
      <c r="H560" t="inlineStr">
        <is>
          <t>L2</t>
        </is>
      </c>
      <c r="I560" t="inlineStr">
        <is>
          <t>WorkHub / time-tracker</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t>
        </is>
      </c>
      <c r="I561" t="inlineStr">
        <is>
          <t>WorkHub / time-tracker</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 · Same as OFFLINE-1 (Planned, Jibble review 2026-10-02).</t>
        </is>
      </c>
      <c r="H562" t="inlineStr">
        <is>
          <t>L0</t>
        </is>
      </c>
      <c r="I562" t="inlineStr">
        <is>
          <t>write path — one door</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t>
        </is>
      </c>
      <c r="I563" t="inlineStr">
        <is>
          <t>WorkHub / time-tracker</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t>
        </is>
      </c>
      <c r="I564" t="inlineStr">
        <is>
          <t>WorkHub / time-tracker</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Done</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 | Landed 7b79e36.</t>
        </is>
      </c>
      <c r="H567" t="inlineStr">
        <is>
          <t>L2</t>
        </is>
      </c>
      <c r="I567" t="inlineStr">
        <is>
          <t>Client Portal</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t>
        </is>
      </c>
      <c r="I568" t="inlineStr">
        <is>
          <t>Client Portal</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t>
        </is>
      </c>
      <c r="I569" t="inlineStr">
        <is>
          <t>Client Portal</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t>
        </is>
      </c>
      <c r="I570" t="inlineStr">
        <is>
          <t>Client Portal</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t>
        </is>
      </c>
      <c r="I571" t="inlineStr">
        <is>
          <t>Client Portal</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t>
        </is>
      </c>
      <c r="I572" t="inlineStr">
        <is>
          <t>Client Portal</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t>
        </is>
      </c>
      <c r="I573" t="inlineStr">
        <is>
          <t>Client Portal</t>
        </is>
      </c>
    </row>
    <row r="574">
      <c r="A574" t="inlineStr">
        <is>
          <t>PT-3</t>
        </is>
      </c>
      <c r="B574" t="inlineStr">
        <is>
          <t>Task status is OPEN AT BOTH ENDS, with an exact log behind it (Florin 2026-09-28)</t>
        </is>
      </c>
      <c r="C574" t="inlineStr">
        <is>
          <t>Portals</t>
        </is>
      </c>
      <c r="D574" t="inlineStr">
        <is>
          <t>P1</t>
        </is>
      </c>
      <c r="E574" t="inlineStr">
        <is>
          <t>Decided</t>
        </is>
      </c>
      <c r="F574" t="inlineStr">
        <is>
          <t>coral-portal-two-party-record.md</t>
        </is>
      </c>
      <c r="G574" t="inlineStr">
        <is>
          <t>Not a response-vs-edit distinction: either side may change status, every change logged in AuditLog (entityType portalTask, field status, before/after, actor).</t>
        </is>
      </c>
      <c r="H574" t="inlineStr">
        <is>
          <t>L1</t>
        </is>
      </c>
      <c r="I574" t="inlineStr">
        <is>
          <t>Client Portal</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t>
        </is>
      </c>
      <c r="I575" t="inlineStr">
        <is>
          <t>Client Portal</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t>
        </is>
      </c>
      <c r="H576" t="inlineStr">
        <is>
          <t>GATE</t>
        </is>
      </c>
      <c r="I576" t="inlineStr">
        <is>
          <t>the seraph — resolver, logicalKey, scoped accessor</t>
        </is>
      </c>
    </row>
    <row r="577">
      <c r="A577" t="inlineStr">
        <is>
          <t>PORTAL-5</t>
        </is>
      </c>
      <c r="B577" t="inlineStr">
        <is>
          <t>🔴 THREE auth models in one feature: password server-side / ERP session / nothing</t>
        </is>
      </c>
      <c r="C577" t="inlineStr">
        <is>
          <t>Portals</t>
        </is>
      </c>
      <c r="D577" t="inlineStr">
        <is>
          <t>P0</t>
        </is>
      </c>
      <c r="E577" t="inlineStr">
        <is>
          <t>Done</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 Verified 2026-10-04: every portal route goes through one verifyPortalAccess (lib/portal-auth).</t>
        </is>
      </c>
      <c r="H577" t="inlineStr">
        <is>
          <t>L1</t>
        </is>
      </c>
      <c r="I577" t="inlineStr">
        <is>
          <t>Client Portal</t>
        </is>
      </c>
    </row>
    <row r="578">
      <c r="A578" t="inlineStr">
        <is>
          <t>CORE-2</t>
        </is>
      </c>
      <c r="B578" t="inlineStr">
        <is>
          <t>🔴 AuditLog.actorUserId is NOT NULL — cannot record a system, portal or operator actor</t>
        </is>
      </c>
      <c r="C578" t="inlineStr">
        <is>
          <t>Audit</t>
        </is>
      </c>
      <c r="D578" t="inlineStr">
        <is>
          <t>P0</t>
        </is>
      </c>
      <c r="E578" t="inlineStr">
        <is>
          <t>Done</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 | Landed f1ad3a9.</t>
        </is>
      </c>
      <c r="H578" t="inlineStr">
        <is>
          <t>L1</t>
        </is>
      </c>
      <c r="I578" t="inlineStr">
        <is>
          <t>audit — the actor</t>
        </is>
      </c>
    </row>
    <row r="579">
      <c r="A579" t="inlineStr">
        <is>
          <t>WH-5a</t>
        </is>
      </c>
      <c r="B579" t="inlineStr">
        <is>
          <t>Core accessor labourForProject — the last ERP-&gt;workhub wire</t>
        </is>
      </c>
      <c r="C579" t="inlineStr">
        <is>
          <t>WorkHub</t>
        </is>
      </c>
      <c r="D579" t="inlineStr">
        <is>
          <t>P1</t>
        </is>
      </c>
      <c r="E579" t="inlineStr">
        <is>
          <t>Done</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 | Landed ed7572d.</t>
        </is>
      </c>
      <c r="H579" t="inlineStr">
        <is>
          <t>L1</t>
        </is>
      </c>
      <c r="I579" t="inlineStr">
        <is>
          <t>Projects</t>
        </is>
      </c>
    </row>
    <row r="580">
      <c r="A580" t="inlineStr">
        <is>
          <t>KERN-7b</t>
        </is>
      </c>
      <c r="B580" t="inlineStr">
        <is>
          <t>Convert the 74 parse sites to roleOfDatabase — batch by batch, allowlist falling</t>
        </is>
      </c>
      <c r="C580" t="inlineStr">
        <is>
          <t>Kernel</t>
        </is>
      </c>
      <c r="D580" t="inlineStr">
        <is>
          <t>P0</t>
        </is>
      </c>
      <c r="E580" t="inlineStr">
        <is>
          <t>Done</t>
        </is>
      </c>
      <c r="F580" t="inlineStr">
        <is>
          <t>coder-directive-kern-7b-conversions.md</t>
        </is>
      </c>
      <c r="G580" t="inlineStr">
        <is>
          <t>UNBLOCKED: logicalKey populated (32). Batch 0 = carry logicalKey to the client Database interface + every mapper (the query already returns it; a field-by-field mapper drops it). TRAP: getBaseDbId returns a BASE ID, logicalKey returns a ROLE — a swap that keeps the comparison string compiles and is always false. 7b.2 (pages.ts) is entitlement + the write path; 7b.5 (schema-cleanup) is destructive. | PAUSED until INC-1 closes — same tree, and two conversions in flight over one surface makes a revert impossible. | Planner 2026-10-01: allowlist reached 0 on 28 Sep (53023a5) — the roadmap still said Paused</t>
        </is>
      </c>
      <c r="H580" t="inlineStr">
        <is>
          <t>L0</t>
        </is>
      </c>
      <c r="I580" t="inlineStr">
        <is>
          <t>identity — ids, roles, bindings</t>
        </is>
      </c>
    </row>
    <row r="581">
      <c r="A581" t="inlineStr">
        <is>
          <t>R1-1c</t>
        </is>
      </c>
      <c r="B581" t="inlineStr">
        <is>
          <t>🔴 Provisioning does not write logicalKey — new tenants get the forward binding only</t>
        </is>
      </c>
      <c r="C581" t="inlineStr">
        <is>
          <t>Kernel</t>
        </is>
      </c>
      <c r="D581" t="inlineStr">
        <is>
          <t>P0</t>
        </is>
      </c>
      <c r="E581" t="inlineStr">
        <is>
          <t>Done</t>
        </is>
      </c>
      <c r="F581" t="inlineStr">
        <is>
          <t>coder-directive-r1-1c-provision-logicalkey.md</t>
        </is>
      </c>
      <c r="G581" t="inlineStr">
        <is>
          <t>R1-1b landed the column and a one-time backfill, not the ongoing write. roleOfDatabase returns null for anything provisioned after today, so KERN-7b's conversions would be silently wrong for every new tenant. Two lines, atomic with the create. | Landed 5ba9630. Repaired the dangling hr-&gt;db-hr binding on first page load; keyed count 31 -&gt; 32.</t>
        </is>
      </c>
      <c r="H581" t="inlineStr">
        <is>
          <t>L0</t>
        </is>
      </c>
      <c r="I581" t="inlineStr">
        <is>
          <t>identity — ids, roles, bindings</t>
        </is>
      </c>
    </row>
    <row r="582">
      <c r="A582" t="inlineStr">
        <is>
          <t>R1-1c.2</t>
        </is>
      </c>
      <c r="B582" t="inlineStr">
        <is>
          <t>🔴 Idempotency-by-binding skips a BROKEN binding forever</t>
        </is>
      </c>
      <c r="C582" t="inlineStr">
        <is>
          <t>Kernel</t>
        </is>
      </c>
      <c r="D582" t="inlineStr">
        <is>
          <t>P0</t>
        </is>
      </c>
      <c r="E582" t="inlineStr">
        <is>
          <t>Done</t>
        </is>
      </c>
      <c r="F582" t="inlineStr">
        <is>
          <t>coder-directive-r1-1c-provision-logicalkey.md</t>
        </is>
      </c>
      <c r="G582" t="inlineStr">
        <is>
          <t>This is how hr -&gt; db-hr survived KERN-5 pass 2: the binding existed so provisioning skipped it, and the id had no row. Measured: 31 keyed where 32 expected. Skip only if the bound id RESOLVES; otherwise provision a replacement and REPORT the repair. | Landed — idempotency now verifies the bound id resolves.</t>
        </is>
      </c>
      <c r="H582" t="inlineStr">
        <is>
          <t>L0</t>
        </is>
      </c>
      <c r="I582" t="inlineStr">
        <is>
          <t>identity — ids, roles, bindings</t>
        </is>
      </c>
    </row>
    <row r="583">
      <c r="A583" t="inlineStr">
        <is>
          <t>KERN-7b.0</t>
        </is>
      </c>
      <c r="B583" t="inlineStr">
        <is>
          <t>Carry logicalKey across the server/client boundary — gates every conversion</t>
        </is>
      </c>
      <c r="C583" t="inlineStr">
        <is>
          <t>Kernel</t>
        </is>
      </c>
      <c r="D583" t="inlineStr">
        <is>
          <t>P0</t>
        </is>
      </c>
      <c r="E583" t="inlineStr">
        <is>
          <t>Done</t>
        </is>
      </c>
      <c r="F583" t="inlineStr">
        <is>
          <t>coder-directive-kern-7b-conversions.md</t>
        </is>
      </c>
      <c r="G583" t="inlineStr">
        <is>
          <t>global-databases.ts findMany returns logicalKey (no select) and the field-by-field mapper drops it. Add it to the client Database interface and EVERY mapper (at least 2 findMany sites). A missed mapper yields undefined, which reads as 'custom database' and is silently wrong. Verify all 16 roles present, none undefined, BEFORE converting anything. Verified 2026-10-04: logicalKey carried by the global-databases mappers.</t>
        </is>
      </c>
      <c r="H583" t="inlineStr">
        <is>
          <t>L1</t>
        </is>
      </c>
      <c r="I583" t="inlineStr">
        <is>
          <t>identity — ids, roles, bindings</t>
        </is>
      </c>
    </row>
    <row r="584">
      <c r="A584" t="inlineStr">
        <is>
          <t>INC-1</t>
        </is>
      </c>
      <c r="B584" t="inlineStr">
        <is>
          <t>🔴 PRODUCTION BROKEN: shift_date write removed, 12 blind readers remain</t>
        </is>
      </c>
      <c r="C584" t="inlineStr">
        <is>
          <t>Incident</t>
        </is>
      </c>
      <c r="D584" t="inlineStr">
        <is>
          <t>P0</t>
        </is>
      </c>
      <c r="E584" t="inlineStr">
        <is>
          <t>Done</t>
        </is>
      </c>
      <c r="F584" t="inlineStr">
        <is>
          <t>coder-directive-shift-shape-incident.md</t>
        </is>
      </c>
      <c r="G584" t="inlineStr">
        <is>
          <t>TypeError 'e.split' on the workhub for every tenant. addSnakeCase stopped writing shift_date/start/end; 12 @ts-nocheck files still read them. The one file tsc could see is the one that did not break. · Fixed 28–29 Sep (shift_date restored, blind reads removed); WorkHub live since. Closed 2026-10-03.</t>
        </is>
      </c>
      <c r="H584" t="inlineStr">
        <is>
          <t>L2</t>
        </is>
      </c>
      <c r="I584" t="inlineStr">
        <is>
          <t>WorkHub / time-tracker</t>
        </is>
      </c>
    </row>
    <row r="585">
      <c r="A585" t="inlineStr">
        <is>
          <t>PROC-1</t>
        </is>
      </c>
      <c r="B585" t="inlineStr">
        <is>
          <t>🔴 ROOT: no gate between landed and live — main == develop, 0 commits apart</t>
        </is>
      </c>
      <c r="C585" t="inlineStr">
        <is>
          <t>Process</t>
        </is>
      </c>
      <c r="D585" t="inlineStr">
        <is>
          <t>P0</t>
        </is>
      </c>
      <c r="E585" t="inlineStr">
        <is>
          <t>Done</t>
        </is>
      </c>
      <c r="F585" t="inlineStr">
        <is>
          <t>coder-directive-shift-shape-incident.md</t>
        </is>
      </c>
      <c r="G585" t="inlineStr">
        <is>
          <t>Every pass this week went straight to production. coral-promotion-plan.md describes a release branch, staging pass and 48h watch — none happened and nobody noticed it stopped. This is the only defect that made the others reach a user. | develop -&gt; main separation restored by Florin 2026-09-28.</t>
        </is>
      </c>
      <c r="H585" t="inlineStr">
        <is>
          <t>⟂</t>
        </is>
      </c>
      <c r="I585" t="inlineStr">
        <is>
          <t>process &amp; housekeeping</t>
        </is>
      </c>
    </row>
    <row r="586">
      <c r="A586" t="inlineStr">
        <is>
          <t>KERN-TIME</t>
        </is>
      </c>
      <c r="B586" t="inlineStr">
        <is>
          <t>L0: shift time is TEXT, and stored two ways in one module</t>
        </is>
      </c>
      <c r="C586" t="inlineStr">
        <is>
          <t>Kernel</t>
        </is>
      </c>
      <c r="D586" t="inlineStr">
        <is>
          <t>P1</t>
        </is>
      </c>
      <c r="E586" t="inlineStr">
        <is>
          <t>In progress</t>
        </is>
      </c>
      <c r="F586" t="inlineStr">
        <is>
          <t>coder-directive-shift-shape-incident.md</t>
        </is>
      </c>
      <c r="G586" t="inlineStr">
        <is>
          <t>ScheduledShift.shiftDate/Start/End are String; ClockEntry.clockInTime is DateTime. 25 hand-parse sites (split('-')/split(':')) exist because the text form forces every consumer to parse. The kernel owns the arithmetic (computeWorkedDuration) but no TYPE. A kernel time type makes this crash class unrepresentable. | Planner 2026-09-30: kernel/shift-time.ts created (KERN-TIME-1) Florin 2026-10-03: WH-7 builds on the kernel time functions now; the storage change stays invisible to it.</t>
        </is>
      </c>
      <c r="H586" t="inlineStr">
        <is>
          <t>L0</t>
        </is>
      </c>
      <c r="I586" t="inlineStr">
        <is>
          <t>time — duration, the break rule</t>
        </is>
      </c>
    </row>
    <row r="587">
      <c r="A587" t="inlineStr">
        <is>
          <t>CORE-DTO</t>
        </is>
      </c>
      <c r="B587" t="inlineStr">
        <is>
          <t>L1: nothing owns the record shape that crosses to a module</t>
        </is>
      </c>
      <c r="C587" t="inlineStr">
        <is>
          <t>Kernel</t>
        </is>
      </c>
      <c r="D587" t="inlineStr">
        <is>
          <t>P1</t>
        </is>
      </c>
      <c r="E587" t="inlineStr">
        <is>
          <t>Open</t>
        </is>
      </c>
      <c r="F587" t="inlineStr">
        <is>
          <t>coder-directive-shift-shape-incident.md</t>
        </is>
      </c>
      <c r="G587" t="inlineStr">
        <is>
          <t>API returns Prisma camelCase; a CLIENT hook invents a second snake_case shape. A client file unilaterally defines the contract, so editing it changes production.</t>
        </is>
      </c>
      <c r="H587" t="inlineStr">
        <is>
          <t>L1</t>
        </is>
      </c>
      <c r="I587" t="inlineStr">
        <is>
          <t>write path — one door</t>
        </is>
      </c>
    </row>
    <row r="588">
      <c r="A588" t="inlineStr">
        <is>
          <t>PLAN-4</t>
        </is>
      </c>
      <c r="B588" t="inlineStr">
        <is>
          <t>Planner treated @ts-nocheck as debt, not as an INTERLOCK</t>
        </is>
      </c>
      <c r="C588" t="inlineStr">
        <is>
          <t>Process</t>
        </is>
      </c>
      <c r="D588" t="inlineStr">
        <is>
          <t>P1</t>
        </is>
      </c>
      <c r="E588" t="inlineStr">
        <is>
          <t>Done</t>
        </is>
      </c>
      <c r="F588" t="inlineStr">
        <is>
          <t>coder-directive-shift-shape-incident.md</t>
        </is>
      </c>
      <c r="G588" t="inlineStr">
        <is>
          <t>While a file carries @ts-nocheck its reads are unverifiable, so the data it consumes must not change. Refused the coder's proposal to restore the aliases on type-purity grounds — the type declarations were safe to remove, the writes were not. New rule: a write may be removed only in the commit that converts its readers.</t>
        </is>
      </c>
      <c r="H588" t="inlineStr">
        <is>
          <t>⟂</t>
        </is>
      </c>
      <c r="I588" t="inlineStr">
        <is>
          <t>process &amp; housekeeping</t>
        </is>
      </c>
    </row>
    <row r="589">
      <c r="A589" t="inlineStr">
        <is>
          <t>TD-0</t>
        </is>
      </c>
      <c r="B589" t="inlineStr">
        <is>
          <t>MEASURE: lift all 37 directives on a scratch branch, count, categorise, revert</t>
        </is>
      </c>
      <c r="C589" t="inlineStr">
        <is>
          <t>Type debt</t>
        </is>
      </c>
      <c r="D589" t="inlineStr">
        <is>
          <t>P0</t>
        </is>
      </c>
      <c r="E589" t="inlineStr">
        <is>
          <t>Done</t>
        </is>
      </c>
      <c r="F589" t="inlineStr">
        <is>
          <t>coral-typecheck-debt-plan.md</t>
        </is>
      </c>
      <c r="G589" t="inlineStr">
        <is>
          <t>The only honest input to sequencing. Per file, by category: casing rename / semantic mapping / phantom field / real bug / type debt. Fix nothing. One file gave 24 errors — do not extrapolate. Coder, from 2026-10-03. Closed 2026-10-03 (report .agents/reports/TD-0.md, reviewed): 0 tsc errors, @ts-nocheck only in 2 vendor files; debt left = 5 SUPA-2-allowlisted files. Shift editor (EditShiftDialog + CreateShiftForm) carries most of it → WH-7 REBUILD confirmed. Review caveat: the report's 199 is a grep — it counts string VALUES (late_entry, clock_entry, shift_submitted, work_order_signed) that are stored data / error codes and must NOT be renamed.</t>
        </is>
      </c>
      <c r="H589" t="inlineStr">
        <is>
          <t>⟂</t>
        </is>
      </c>
      <c r="I589" t="inlineStr">
        <is>
          <t>process &amp; housekeeping</t>
        </is>
      </c>
    </row>
    <row r="590">
      <c r="A590" t="inlineStr">
        <is>
          <t>TD-1</t>
        </is>
      </c>
      <c r="B590" t="inlineStr">
        <is>
          <t>🔴 REAL BUGS found under @ts-nocheck — fix immediately, each its own commit</t>
        </is>
      </c>
      <c r="C590" t="inlineStr">
        <is>
          <t>Type debt</t>
        </is>
      </c>
      <c r="D590" t="inlineStr">
        <is>
          <t>P0</t>
        </is>
      </c>
      <c r="E590" t="inlineStr">
        <is>
          <t>Done</t>
        </is>
      </c>
      <c r="F590" t="inlineStr">
        <is>
          <t>coral-typecheck-debt-plan.md</t>
        </is>
      </c>
      <c r="G590" t="inlineStr">
        <is>
          <t>EditShiftDialog:785 'Cannot find name fileInputRef' — an undefined variable in shipping code, a crash if that path runs. Plus a missing ProjectAttachment export. These are why the plan is urgent rather than tidy. Verified 2026-10-04: fixed 2026-09-28 (6d55f14) — fileInputRef declared, ProjectAttachment exported.</t>
        </is>
      </c>
      <c r="H590" t="inlineStr">
        <is>
          <t>L2</t>
        </is>
      </c>
      <c r="I590" t="inlineStr">
        <is>
          <t>WorkHub / time-tracker</t>
        </is>
      </c>
    </row>
    <row r="591">
      <c r="A591" t="inlineStr">
        <is>
          <t>TD-2</t>
        </is>
      </c>
      <c r="B591" t="inlineStr">
        <is>
          <t>PHANTOM FIELDS: reads of fields that exist in no model</t>
        </is>
      </c>
      <c r="C591" t="inlineStr">
        <is>
          <t>Type debt</t>
        </is>
      </c>
      <c r="D591" t="inlineStr">
        <is>
          <t>P1</t>
        </is>
      </c>
      <c r="E591" t="inlineStr">
        <is>
          <t>Done</t>
        </is>
      </c>
      <c r="F591" t="inlineStr">
        <is>
          <t>coral-typecheck-debt-plan.md</t>
        </is>
      </c>
      <c r="G591" t="inlineStr">
        <is>
          <t>source_project_id is read on ScheduleAttachment and exists in neither Prisma nor the client type — the feature it drives is already dead. Implement or delete. NEVER rename a phantom. Done 2026-10-03 (Florin "gone, please"): source_project_id removed (42bd5fc) — never written; its "From Project" badge could never show.</t>
        </is>
      </c>
      <c r="H591" t="inlineStr">
        <is>
          <t>L2</t>
        </is>
      </c>
      <c r="I591" t="inlineStr">
        <is>
          <t>WorkHub / time-tracker</t>
        </is>
      </c>
    </row>
    <row r="592">
      <c r="A592" t="inlineStr">
        <is>
          <t>TD-3</t>
        </is>
      </c>
      <c r="B592" t="inlineStr">
        <is>
          <t>@ts-nocheck → line-level @ts-expect-error, one file per commit</t>
        </is>
      </c>
      <c r="C592" t="inlineStr">
        <is>
          <t>Type debt</t>
        </is>
      </c>
      <c r="D592" t="inlineStr">
        <is>
          <t>P0</t>
        </is>
      </c>
      <c r="E592" t="inlineStr">
        <is>
          <t>Done</t>
        </is>
      </c>
      <c r="F592" t="inlineStr">
        <is>
          <t>coral-typecheck-debt-plan.md</t>
        </is>
      </c>
      <c r="G592" t="inlineStr">
        <is>
          <t>THE CORE MOVE. Blanket silence makes readers unenumerable — that is INC-1. Line-level makes them greppable and countable WITHOUT converting one. The file becomes type-checked immediately; a new error fails the build. Order: fewest errors first. | SUPERSEDED AS A METRIC: the markers are gone (TD-4 converted those exact lines) and were never complete — local snake_case interfaces type-check and were never marked. Verified 2026-10-04: @ts-nocheck only in 2 vendor ui files.</t>
        </is>
      </c>
      <c r="H592" t="inlineStr">
        <is>
          <t>⟂</t>
        </is>
      </c>
      <c r="I592" t="inlineStr">
        <is>
          <t>process &amp; housekeeping</t>
        </is>
      </c>
    </row>
    <row r="593">
      <c r="A593" t="inlineStr">
        <is>
          <t>TD-4</t>
        </is>
      </c>
      <c r="B593" t="inlineStr">
        <is>
          <t>Convert the remaining shape — the SUPA-2 allowlist (37) is the metric, not @ts-expect-error</t>
        </is>
      </c>
      <c r="C593" t="inlineStr">
        <is>
          <t>Type debt</t>
        </is>
      </c>
      <c r="D593" t="inlineStr">
        <is>
          <t>P1</t>
        </is>
      </c>
      <c r="E593" t="inlineStr">
        <is>
          <t>In progress</t>
        </is>
      </c>
      <c r="F593" t="inlineStr">
        <is>
          <t>coder-directive-td-4-convert.md</t>
        </is>
      </c>
      <c r="G593" t="inlineStr">
        <is>
          <t>@ts-expect-error is 0 and CANNOT come back: TimesheetView and Performance declare LOCAL snake_case interfaces, so those reads type-check and tsc never saw them. The ESLint allowlist matches the PATTERN including TSPropertySignature, so a locally-declared wrong shape cannot hide. Surface: 9 files already clean, 17-file tail, 4 local-interface files, 3 SKIPPED (WH-7 rebuilds two, WH-UI-1 deletes one), 3 bridges last. | Planner 2026-09-30: allowlist 36 → 5</t>
        </is>
      </c>
      <c r="H593" t="inlineStr">
        <is>
          <t>⟂</t>
        </is>
      </c>
      <c r="I593" t="inlineStr">
        <is>
          <t>process &amp; housekeeping</t>
        </is>
      </c>
    </row>
    <row r="594">
      <c r="A594" t="inlineStr">
        <is>
          <t>TD-5</t>
        </is>
      </c>
      <c r="B594" t="inlineStr">
        <is>
          <t>RULE: a write is removed only in the commit that converts its LAST reader</t>
        </is>
      </c>
      <c r="C594" t="inlineStr">
        <is>
          <t>Type debt</t>
        </is>
      </c>
      <c r="D594" t="inlineStr">
        <is>
          <t>P0</t>
        </is>
      </c>
      <c r="E594" t="inlineStr">
        <is>
          <t>Open</t>
        </is>
      </c>
      <c r="F594" t="inlineStr">
        <is>
          <t>coral-typecheck-debt-plan.md</t>
        </is>
      </c>
      <c r="G594" t="inlineStr">
        <is>
          <t>Readers become countable via grep on the @ts-expect-error comments. Zero readers, then the write goes. 'Strip the type, remove the write, convert later' is INC-1 stated as a sentence. | Bridges: useScheduledShifts (62) + useScheduleAttachments (30) + actions/timesheets (15). One FIELD at a time, not one file. Zero readers, then the write goes.</t>
        </is>
      </c>
      <c r="H594" t="inlineStr">
        <is>
          <t>⟂</t>
        </is>
      </c>
      <c r="I594" t="inlineStr">
        <is>
          <t>process &amp; housekeeping</t>
        </is>
      </c>
    </row>
    <row r="595">
      <c r="A595" t="inlineStr">
        <is>
          <t>TD-6</t>
        </is>
      </c>
      <c r="B595" t="inlineStr">
        <is>
          <t>RATCHET: @ts-nocheck forbidden by ESLint, 21 files grandfathered, allowlist only falls</t>
        </is>
      </c>
      <c r="C595" t="inlineStr">
        <is>
          <t>Type debt</t>
        </is>
      </c>
      <c r="D595" t="inlineStr">
        <is>
          <t>P1</t>
        </is>
      </c>
      <c r="E595" t="inlineStr">
        <is>
          <t>Open</t>
        </is>
      </c>
      <c r="F595" t="inlineStr">
        <is>
          <t>coral-typecheck-debt-plan.md</t>
        </is>
      </c>
      <c r="G595" t="inlineStr">
        <is>
          <t>ban-ts-comment already warns; make nocheck an error. Two monotonic numbers: files unchecked -&gt; 0, expected errors -&gt; 0.</t>
        </is>
      </c>
      <c r="H595" t="inlineStr">
        <is>
          <t>⟂</t>
        </is>
      </c>
      <c r="I595" t="inlineStr">
        <is>
          <t>process &amp; housekeeping</t>
        </is>
      </c>
    </row>
    <row r="596">
      <c r="A596" t="inlineStr">
        <is>
          <t>HRS-1</t>
        </is>
      </c>
      <c r="B596" t="inlineStr">
        <is>
          <t>Hours must be assignable to a project AT ANY MOMENT — never fixed at creation</t>
        </is>
      </c>
      <c r="C596" t="inlineStr">
        <is>
          <t>WorkHub</t>
        </is>
      </c>
      <c r="D596" t="inlineStr">
        <is>
          <t>P0</t>
        </is>
      </c>
      <c r="E596" t="inlineStr">
        <is>
          <t>Open</t>
        </is>
      </c>
      <c r="F596" t="inlineStr">
        <is>
          <t>pd.md 4x</t>
        </is>
      </c>
      <c r="G596" t="inlineStr">
        <is>
          <t>Florin 2026-09-28: 'do not make assumptions, leave it open with the possibility to set at any moment.' Recorded hours exist independently; attribution is a later, repeatable act. Unattributed hours are a NORMAL TRANSIENT STATE, not an error and not an orphan.</t>
        </is>
      </c>
      <c r="H596" t="inlineStr">
        <is>
          <t>L0</t>
        </is>
      </c>
      <c r="I596" t="inlineStr">
        <is>
          <t>time — duration, the break rule</t>
        </is>
      </c>
    </row>
    <row r="597">
      <c r="A597" t="inlineStr">
        <is>
          <t>HRS-2</t>
        </is>
      </c>
      <c r="B597" t="inlineStr">
        <is>
          <t>A surface to assign / re-assign hours to a project, including retrospectively</t>
        </is>
      </c>
      <c r="C597" t="inlineStr">
        <is>
          <t>WorkHub</t>
        </is>
      </c>
      <c r="D597" t="inlineStr">
        <is>
          <t>P1</t>
        </is>
      </c>
      <c r="E597" t="inlineStr">
        <is>
          <t>Open</t>
        </is>
      </c>
      <c r="F597" t="inlineStr">
        <is>
          <t>pd.md 4x</t>
        </is>
      </c>
      <c r="G597" t="inlineStr">
        <is>
          <t>Follows from HRS-1. Applies to late entries AND live clock-ins. Covers the 11 orphaned entries without needing invented shifts.</t>
        </is>
      </c>
      <c r="H597" t="inlineStr">
        <is>
          <t>L2</t>
        </is>
      </c>
      <c r="I597" t="inlineStr">
        <is>
          <t>WorkHub / time-tracker</t>
        </is>
      </c>
    </row>
    <row r="598">
      <c r="A598" t="inlineStr">
        <is>
          <t>HRS-3</t>
        </is>
      </c>
      <c r="B598" t="inlineStr">
        <is>
          <t>Every project re-assignment of hours is logged</t>
        </is>
      </c>
      <c r="C598" t="inlineStr">
        <is>
          <t>WorkHub</t>
        </is>
      </c>
      <c r="D598" t="inlineStr">
        <is>
          <t>P1</t>
        </is>
      </c>
      <c r="E598" t="inlineStr">
        <is>
          <t>Open</t>
        </is>
      </c>
      <c r="F598" t="inlineStr">
        <is>
          <t>pd.md 4x</t>
        </is>
      </c>
      <c r="G598" t="inlineStr">
        <is>
          <t>Hours moving between projects moves money between jobs. AuditLog, one authority (pd.md 5a).</t>
        </is>
      </c>
      <c r="H598" t="inlineStr">
        <is>
          <t>L1</t>
        </is>
      </c>
      <c r="I598" t="inlineStr">
        <is>
          <t>audit — the actor</t>
        </is>
      </c>
    </row>
    <row r="599">
      <c r="A599" t="inlineStr">
        <is>
          <t>PLAN-5</t>
        </is>
      </c>
      <c r="B599" t="inlineStr">
        <is>
          <t>Planner misused 'canonical' as a collapse rule</t>
        </is>
      </c>
      <c r="C599" t="inlineStr">
        <is>
          <t>Process</t>
        </is>
      </c>
      <c r="D599" t="inlineStr">
        <is>
          <t>P1</t>
        </is>
      </c>
      <c r="E599" t="inlineStr">
        <is>
          <t>Done</t>
        </is>
      </c>
      <c r="F599" t="inlineStr">
        <is>
          <t>pd.md 4z</t>
        </is>
      </c>
      <c r="G599" t="inlineStr">
        <is>
          <t>Proposed deleting one of User / Employee / db-hr projection as duplicates. Florin: canonical means each concept DEFINED then FROZEN, not reduced to one. The defect-shape-#1 test is 'one concept, two representations' — not 'two things that sound alike'. Some earlier shape-#1 calls this month deserve re-checking under the correct test.</t>
        </is>
      </c>
      <c r="H599" t="inlineStr">
        <is>
          <t>—</t>
        </is>
      </c>
      <c r="I599" t="inlineStr">
        <is>
          <t>process &amp; housekeeping</t>
        </is>
      </c>
    </row>
    <row r="600">
      <c r="A600" t="inlineStr">
        <is>
          <t>CSF-1</t>
        </is>
      </c>
      <c r="B600" t="inlineStr">
        <is>
          <t>Shift modal: worker names blank + project unselectable from the matrix +</t>
        </is>
      </c>
      <c r="C600" t="inlineStr">
        <is>
          <t>WorkHub</t>
        </is>
      </c>
      <c r="D600" t="inlineStr">
        <is>
          <t>P0</t>
        </is>
      </c>
      <c r="E600" t="inlineStr">
        <is>
          <t>Open</t>
        </is>
      </c>
      <c r="F600" t="inlineStr">
        <is>
          <t>coder-directive-csf-1-shift-modal.md</t>
        </is>
      </c>
      <c r="G600" t="inlineStr">
        <is>
          <t>REV 2 (canonical): both fixes moved to the DEFINITION. (A) WorkerOption is declared THREE times (CreateShiftForm:45, EditShiftDialog:53, ScheduleManagement:19) plus WorkerWithProfile as a fourth shape — one definition in time-tracker/types, name REQUIRED, full_name deleted. (B) 56 SearchableSelect callers, ONE passes portalContainer — the component must self-determine its target (closest('[role=dialog]') ?? body) so all 56 are correct by construction. Rev 1 would have made it 2 of 56.</t>
        </is>
      </c>
      <c r="H600" t="inlineStr">
        <is>
          <t>L2</t>
        </is>
      </c>
      <c r="I600" t="inlineStr">
        <is>
          <t>WorkHub / time-tracker</t>
        </is>
      </c>
    </row>
    <row r="601">
      <c r="A601" t="inlineStr">
        <is>
          <t>PLAN-6</t>
        </is>
      </c>
      <c r="B601" t="inlineStr">
        <is>
          <t>Planner mistook Employee.schedule for a broken User↔Employee link</t>
        </is>
      </c>
      <c r="C601" t="inlineStr">
        <is>
          <t>Process</t>
        </is>
      </c>
      <c r="D601" t="inlineStr">
        <is>
          <t>P1</t>
        </is>
      </c>
      <c r="E601" t="inlineStr">
        <is>
          <t>Done</t>
        </is>
      </c>
      <c r="F601" t="inlineStr">
        <is>
          <t>coder-directive-csf-1-shift-modal.md</t>
        </is>
      </c>
      <c r="G601" t="inlineStr">
        <is>
          <t>Employee.schedule is a deliberate per-employee checkbox in the profile deciding scheduler visibility. Florin manages it. The short employee list was the feature working. Second false alarm today (the other: grepping the WORD @ts-nocheck rather than the directive).</t>
        </is>
      </c>
      <c r="H601" t="inlineStr">
        <is>
          <t>—</t>
        </is>
      </c>
      <c r="I601" t="inlineStr">
        <is>
          <t>process &amp; housekeeping</t>
        </is>
      </c>
    </row>
    <row r="602">
      <c r="A602" t="inlineStr">
        <is>
          <t>SS-1</t>
        </is>
      </c>
      <c r="B602" t="inlineStr">
        <is>
          <t>🔴 SearchableSelect: 56 callers, 1 passes portalContainer — the component must decide</t>
        </is>
      </c>
      <c r="C602" t="inlineStr">
        <is>
          <t>Type debt</t>
        </is>
      </c>
      <c r="D602" t="inlineStr">
        <is>
          <t>P0</t>
        </is>
      </c>
      <c r="E602" t="inlineStr">
        <is>
          <t>Done</t>
        </is>
      </c>
      <c r="F602" t="inlineStr">
        <is>
          <t>coder-directive-csf-1-shift-modal.md</t>
        </is>
      </c>
      <c r="G602" t="inlineStr">
        <is>
          <t>Defaults usePortal=true and falls back to document.body, so ANY SearchableSelect inside ANY Radix dialog is unclickable — the focus trap eats the clicks. Fix at the component: closest('[role=dialog]') ?? body. All 56 callers correct by construction. RISK: position:fixed inside a transformed ancestor — verify placement, not just that it opens. Verified 2026-10-04: SearchableSelect portals into closest([role=dialog]) — SearchableSelect.tsx:248.</t>
        </is>
      </c>
      <c r="H602" t="inlineStr">
        <is>
          <t>L1</t>
        </is>
      </c>
      <c r="I602" t="inlineStr">
        <is>
          <t>shared plumbing — cn, theme, hr-api</t>
        </is>
      </c>
    </row>
    <row r="603">
      <c r="A603" t="inlineStr">
        <is>
          <t>PLAN-7</t>
        </is>
      </c>
      <c r="B603" t="inlineStr">
        <is>
          <t>Planner fixed the instance, not the shape — one message after criticising exactly that</t>
        </is>
      </c>
      <c r="C603" t="inlineStr">
        <is>
          <t>Process</t>
        </is>
      </c>
      <c r="D603" t="inlineStr">
        <is>
          <t>P1</t>
        </is>
      </c>
      <c r="E603" t="inlineStr">
        <is>
          <t>Done</t>
        </is>
      </c>
      <c r="F603" t="inlineStr">
        <is>
          <t>coder-directive-csf-1-shift-modal.md</t>
        </is>
      </c>
      <c r="G603" t="inlineStr">
        <is>
          <t>CSF-1 rev 1 patched caller #2 of 56 and froze WorkerOption in a leaf where it is declared three times. Rev 2 moves both to the definition. The canonical check must run BEFORE a directive is handed over, not after Florin asks for it.</t>
        </is>
      </c>
      <c r="H603" t="inlineStr">
        <is>
          <t>—</t>
        </is>
      </c>
      <c r="I603" t="inlineStr">
        <is>
          <t>process &amp; housekeeping</t>
        </is>
      </c>
    </row>
    <row r="604">
      <c r="A604" t="inlineStr">
        <is>
          <t>WH-UI-1</t>
        </is>
      </c>
      <c r="B604" t="inlineStr">
        <is>
          <t>WorkHub home: schedule fills the page, clock button to the bottom as fallback</t>
        </is>
      </c>
      <c r="C604" t="inlineStr">
        <is>
          <t>WorkHub</t>
        </is>
      </c>
      <c r="D604" t="inlineStr">
        <is>
          <t>P1</t>
        </is>
      </c>
      <c r="E604" t="inlineStr">
        <is>
          <t>Done</t>
        </is>
      </c>
      <c r="F604" t="inlineStr">
        <is>
          <t>coder-directive-wh-ui-1-workhub-home.md</t>
        </is>
      </c>
      <c r="G604" t="inlineStr">
        <is>
          <t>Florin 2026-09-28. Time Off to nav, QuickLinks deleted, 'Today's Shift' block removed, hero section gone. Shift cards are ALREADY built to bleed (rounded-none border-x-0) and the page px-4 plus an outer Card put them back in a box. | REVISED: Florin decided the shift entry gains project NAME + tappable ADDRESS in this pass; the word 'Shift' is deleted. Clock button FIXED above the nav, green (emerald-600) when a shift is available / brand-orange when not, both labels LOCALIZED in all 5 locales. Text starts at OS default 1rem. Borders between entries kept. | Planner 2026-09-30: §9 landed; legibility root cause = iOS zoom-out (e16efb7); 1.2rem + cards (285dd63)</t>
        </is>
      </c>
      <c r="H604" t="inlineStr">
        <is>
          <t>L3</t>
        </is>
      </c>
      <c r="I604" t="inlineStr">
        <is>
          <t>shells &amp; navigation — WorkHubShell</t>
        </is>
      </c>
    </row>
    <row r="605">
      <c r="A605" t="inlineStr">
        <is>
          <t>WH-UI-2</t>
        </is>
      </c>
      <c r="B605" t="inlineStr">
        <is>
          <t>Files appears in the nav while loading and disappears once loaded</t>
        </is>
      </c>
      <c r="C605" t="inlineStr">
        <is>
          <t>WorkHub</t>
        </is>
      </c>
      <c r="D605" t="inlineStr">
        <is>
          <t>P2</t>
        </is>
      </c>
      <c r="E605" t="inlineStr">
        <is>
          <t>Open</t>
        </is>
      </c>
      <c r="F605" t="inlineStr">
        <is>
          <t>coder-directive-wh-ui-1-workhub-home.md</t>
        </is>
      </c>
      <c r="G605" t="inlineStr">
        <is>
          <t>Unconditional in the WorkHubShell array (line 31) so something filters it after the tenant resolves. This is the 'old screen with five links' Florin saw during the INC-1 crash — not a stale cache. Also: the header shows 'User' as a placeholder before the name loads.</t>
        </is>
      </c>
      <c r="H605" t="inlineStr">
        <is>
          <t>L3</t>
        </is>
      </c>
      <c r="I605" t="inlineStr">
        <is>
          <t>shells &amp; navigation — WorkHubShell</t>
        </is>
      </c>
    </row>
    <row r="606">
      <c r="A606" t="inlineStr">
        <is>
          <t>DS-1</t>
        </is>
      </c>
      <c r="B606" t="inlineStr">
        <is>
          <t>🔴 The brand palette exists as a decision and NOWHERE as code</t>
        </is>
      </c>
      <c r="C606" t="inlineStr">
        <is>
          <t>Design system</t>
        </is>
      </c>
      <c r="D606" t="inlineStr">
        <is>
          <t>P1</t>
        </is>
      </c>
      <c r="E606" t="inlineStr">
        <is>
          <t>Open</t>
        </is>
      </c>
      <c r="F606" t="inlineStr">
        <is>
          <t>coder-directive-wh-ui-1-workhub-home.md</t>
        </is>
      </c>
      <c r="G606" t="inlineStr">
        <is>
          <t>tawny/persian-green/eerie-black/baby-powder/eggshell: 0 occurrences in src. Instead: #d35400 x368 (WRONG orange, ERP surfaces), #d75d00 x158 (tawny, correct, public site), orange-* x522, emerald-* x210. The public site has the brand right; the ERP drifted because no token existed to disagree with. globals.css defines no palette. WH-UI-1 defines the tokens and is the first correct consumer; converting the other ~1,258 sites is this item.</t>
        </is>
      </c>
      <c r="H606" t="inlineStr">
        <is>
          <t>L4</t>
        </is>
      </c>
      <c r="I606" t="inlineStr">
        <is>
          <t>design system</t>
        </is>
      </c>
    </row>
    <row r="607">
      <c r="A607" t="inlineStr">
        <is>
          <t>WH-UI-3</t>
        </is>
      </c>
      <c r="B607" t="inlineStr">
        <is>
          <t>🔴 Legibility: a DISPLAY font does body work in the workhub</t>
        </is>
      </c>
      <c r="C607" t="inlineStr">
        <is>
          <t>WorkHub</t>
        </is>
      </c>
      <c r="D607" t="inlineStr">
        <is>
          <t>P1</t>
        </is>
      </c>
      <c r="E607" t="inlineStr">
        <is>
          <t>Open</t>
        </is>
      </c>
      <c r="F607" t="inlineStr">
        <is>
          <t>coder-directive-wh-ui-1-workhub-home.md</t>
        </is>
      </c>
      <c r="G607" t="inlineStr">
        <is>
          <t>body uses Oxanium (squarish display face, small x-height) while IBM Plex Sans is loaded and assigned to '.font-content — legible for data-heavy areas' and used NOWHERE in the workhub. Plus 119 text-xs + 169 text-sm against 21 at base or above. Apply .font-content to the shell; base 1rem; delete text-xs from crew surfaces.</t>
        </is>
      </c>
      <c r="H607" t="inlineStr">
        <is>
          <t>L4</t>
        </is>
      </c>
      <c r="I607" t="inlineStr">
        <is>
          <t>design system</t>
        </is>
      </c>
    </row>
    <row r="608">
      <c r="A608" t="inlineStr">
        <is>
          <t>WH-UI-4</t>
        </is>
      </c>
      <c r="B608" t="inlineStr">
        <is>
          <t>DECIDED: delete ShiftViewDialog (626 lines, never rendered, never executed)</t>
        </is>
      </c>
      <c r="C608" t="inlineStr">
        <is>
          <t>WorkHub</t>
        </is>
      </c>
      <c r="D608" t="inlineStr">
        <is>
          <t>P1</t>
        </is>
      </c>
      <c r="E608" t="inlineStr">
        <is>
          <t>Decided</t>
        </is>
      </c>
      <c r="F608" t="inlineStr">
        <is>
          <t>coder-directive-wh-ui-1-workhub-home.md</t>
        </is>
      </c>
      <c r="G608" t="inlineStr">
        <is>
          <t>Its clock-entry rendering was gated behind clock_entry_id, hardcoded null at useScheduledShifts:76 — that code has NEVER run. Not proven work to harvest: unverified code on a removed shape carrying @ts-expect-errors. Delete it.</t>
        </is>
      </c>
      <c r="H608" t="inlineStr">
        <is>
          <t>L3</t>
        </is>
      </c>
      <c r="I608" t="inlineStr">
        <is>
          <t>shells &amp; navigation — WorkHubShell</t>
        </is>
      </c>
    </row>
    <row r="609">
      <c r="A609" t="inlineStr">
        <is>
          <t>WHS-1</t>
        </is>
      </c>
      <c r="B609" t="inlineStr">
        <is>
          <t>WorkHub stabilisation: allSettled, timeouts, no endless spinner, timer revert, nav</t>
        </is>
      </c>
      <c r="C609" t="inlineStr">
        <is>
          <t>WorkHub</t>
        </is>
      </c>
      <c r="D609" t="inlineStr">
        <is>
          <t>P0</t>
        </is>
      </c>
      <c r="E609" t="inlineStr">
        <is>
          <t>Done</t>
        </is>
      </c>
      <c r="F609" t="inlineStr">
        <is>
          <t>Planner 2026-09-30</t>
        </is>
      </c>
      <c r="G609" t="inlineStr">
        <is>
          <t>aff03a0</t>
        </is>
      </c>
      <c r="H609" t="inlineStr">
        <is>
          <t>L2</t>
        </is>
      </c>
      <c r="I609" t="inlineStr">
        <is>
          <t>WorkHub / time-tracker</t>
        </is>
      </c>
    </row>
    <row r="610">
      <c r="A610" t="inlineStr">
        <is>
          <t>WHS-1b</t>
        </is>
      </c>
      <c r="B610" t="inlineStr">
        <is>
          <t>Clock never acts on unknown state: server refuses a 2nd open entry (409, adopt), no duplicate shift on slow network</t>
        </is>
      </c>
      <c r="C610" t="inlineStr">
        <is>
          <t>WorkHub</t>
        </is>
      </c>
      <c r="D610" t="inlineStr">
        <is>
          <t>P0</t>
        </is>
      </c>
      <c r="E610" t="inlineStr">
        <is>
          <t>Done</t>
        </is>
      </c>
      <c r="F610" t="inlineStr">
        <is>
          <t>Planner 2026-09-30</t>
        </is>
      </c>
      <c r="G610" t="inlineStr">
        <is>
          <t>f7659d3</t>
        </is>
      </c>
      <c r="H610" t="inlineStr">
        <is>
          <t>L2</t>
        </is>
      </c>
      <c r="I610" t="inlineStr">
        <is>
          <t>WorkHub / time-tracker</t>
        </is>
      </c>
    </row>
    <row r="611">
      <c r="A611" t="inlineStr">
        <is>
          <t>HR-TS-1</t>
        </is>
      </c>
      <c r="B611" t="inlineStr">
        <is>
          <t>Timesheet detail: approve/deny visible, approvedBy stamped, werkbon link fixes</t>
        </is>
      </c>
      <c r="C611" t="inlineStr">
        <is>
          <t>HR</t>
        </is>
      </c>
      <c r="D611" t="inlineStr">
        <is>
          <t>P0</t>
        </is>
      </c>
      <c r="E611" t="inlineStr">
        <is>
          <t>Done (code)</t>
        </is>
      </c>
      <c r="F611" t="inlineStr">
        <is>
          <t>Planner 2026-09-30</t>
        </is>
      </c>
      <c r="G611" t="inlineStr">
        <is>
          <t>457f1a1 — not yet Planner-verified</t>
        </is>
      </c>
      <c r="H611" t="inlineStr">
        <is>
          <t>L3</t>
        </is>
      </c>
      <c r="I611" t="inlineStr">
        <is>
          <t>HR — timesheets, workforce</t>
        </is>
      </c>
    </row>
    <row r="612">
      <c r="A612" t="inlineStr">
        <is>
          <t>HR-TS-3</t>
        </is>
      </c>
      <c r="B612" t="inlineStr">
        <is>
          <t>Thumbnails: one t_ URL resolver for photos + attachments</t>
        </is>
      </c>
      <c r="C612" t="inlineStr">
        <is>
          <t>HR</t>
        </is>
      </c>
      <c r="D612" t="inlineStr">
        <is>
          <t>P1</t>
        </is>
      </c>
      <c r="E612" t="inlineStr">
        <is>
          <t>Done (code)</t>
        </is>
      </c>
      <c r="F612" t="inlineStr">
        <is>
          <t>Planner 2026-09-30</t>
        </is>
      </c>
      <c r="G612" t="inlineStr">
        <is>
          <t>9248788 — not yet Planner-verified</t>
        </is>
      </c>
      <c r="H612" t="inlineStr">
        <is>
          <t>L3</t>
        </is>
      </c>
      <c r="I612" t="inlineStr">
        <is>
          <t>HR — timesheets, workforce</t>
        </is>
      </c>
    </row>
    <row r="613">
      <c r="A613" t="inlineStr">
        <is>
          <t>HR-TS-5</t>
        </is>
      </c>
      <c r="B613" t="inlineStr">
        <is>
          <t>Timesheet detail edit mode: project picker, billable, audit log shown</t>
        </is>
      </c>
      <c r="C613" t="inlineStr">
        <is>
          <t>HR</t>
        </is>
      </c>
      <c r="D613" t="inlineStr">
        <is>
          <t>P1</t>
        </is>
      </c>
      <c r="E613" t="inlineStr">
        <is>
          <t>Done (code)</t>
        </is>
      </c>
      <c r="F613" t="inlineStr">
        <is>
          <t>Planner 2026-09-30</t>
        </is>
      </c>
      <c r="G613" t="inlineStr">
        <is>
          <t>e87093f — not yet Planner-verified</t>
        </is>
      </c>
      <c r="H613" t="inlineStr">
        <is>
          <t>L3</t>
        </is>
      </c>
      <c r="I613" t="inlineStr">
        <is>
          <t>HR — timesheets, workforce</t>
        </is>
      </c>
    </row>
    <row r="614">
      <c r="A614" t="inlineStr">
        <is>
          <t>HR-TS-6</t>
        </is>
      </c>
      <c r="B614" t="inlineStr">
        <is>
          <t>Edit pane read in local time (was UTC, 2h early)</t>
        </is>
      </c>
      <c r="C614" t="inlineStr">
        <is>
          <t>HR</t>
        </is>
      </c>
      <c r="D614" t="inlineStr">
        <is>
          <t>P0</t>
        </is>
      </c>
      <c r="E614" t="inlineStr">
        <is>
          <t>Done</t>
        </is>
      </c>
      <c r="F614" t="inlineStr">
        <is>
          <t>Planner 2026-09-30</t>
        </is>
      </c>
      <c r="G614" t="inlineStr">
        <is>
          <t>8bed336</t>
        </is>
      </c>
      <c r="H614" t="inlineStr">
        <is>
          <t>L3</t>
        </is>
      </c>
      <c r="I614" t="inlineStr">
        <is>
          <t>HR — timesheets, workforce</t>
        </is>
      </c>
    </row>
    <row r="615">
      <c r="A615" t="inlineStr">
        <is>
          <t>HR-TS-7</t>
        </is>
      </c>
      <c r="B615" t="inlineStr">
        <is>
          <t>Entry provenance: source, createdBy, derived self-approval, notes (its migration = INC-2)</t>
        </is>
      </c>
      <c r="C615" t="inlineStr">
        <is>
          <t>HR</t>
        </is>
      </c>
      <c r="D615" t="inlineStr">
        <is>
          <t>P1</t>
        </is>
      </c>
      <c r="E615" t="inlineStr">
        <is>
          <t>Done (code)</t>
        </is>
      </c>
      <c r="F615" t="inlineStr">
        <is>
          <t>Planner 2026-09-30</t>
        </is>
      </c>
      <c r="G615" t="inlineStr">
        <is>
          <t>0d56eb9 — not yet Planner-verified</t>
        </is>
      </c>
      <c r="H615" t="inlineStr">
        <is>
          <t>L3</t>
        </is>
      </c>
      <c r="I615" t="inlineStr">
        <is>
          <t>HR — timesheets, workforce</t>
        </is>
      </c>
    </row>
    <row r="616">
      <c r="A616" t="inlineStr">
        <is>
          <t>SCH-8</t>
        </is>
      </c>
      <c r="B616" t="inlineStr">
        <is>
          <t>Series scope is decorative ("save for all" does nothing) + HR-TS-8 manual-entry project select</t>
        </is>
      </c>
      <c r="C616" t="inlineStr">
        <is>
          <t>HR</t>
        </is>
      </c>
      <c r="D616" t="inlineStr">
        <is>
          <t>P1</t>
        </is>
      </c>
      <c r="E616" t="inlineStr">
        <is>
          <t>Done</t>
        </is>
      </c>
      <c r="F616" t="inlineStr">
        <is>
          <t>Planner 2026-09-30</t>
        </is>
      </c>
      <c r="G616" t="inlineStr">
        <is>
          <t>coder-directive-sch-8-series-and-manual-entry.md · ff9e5cc + d489204: server-side series scope, one transaction, count shown (2026-10-01/02).</t>
        </is>
      </c>
      <c r="H616" t="inlineStr">
        <is>
          <t>L3</t>
        </is>
      </c>
      <c r="I616" t="inlineStr">
        <is>
          <t>HR — timesheets, workforce</t>
        </is>
      </c>
    </row>
    <row r="617">
      <c r="A617" t="inlineStr">
        <is>
          <t>PROJ-SSOT-1</t>
        </is>
      </c>
      <c r="B617" t="inlineStr">
        <is>
          <t>One project resolver; retire HrProject (export Project column resolves from an empty table). Land before hours are attributed + exported.</t>
        </is>
      </c>
      <c r="C617" t="inlineStr">
        <is>
          <t>Projects</t>
        </is>
      </c>
      <c r="D617" t="inlineStr">
        <is>
          <t>P0</t>
        </is>
      </c>
      <c r="E617" t="inlineStr">
        <is>
          <t>In progress</t>
        </is>
      </c>
      <c r="F617" t="inlineStr">
        <is>
          <t>Planner 2026-09-30</t>
        </is>
      </c>
      <c r="G617" t="inlineStr">
        <is>
          <t>census 2026-09-30: 26 unattributed by design, 1 dangling cleared | Planner 2026-10-01: phase 1 done (9ef6a6d): one resolver lib/data/projects.ts, HrProject read nowhere. Phase 2 (drop) gated: code first, snapshot, Florin's migration</t>
        </is>
      </c>
      <c r="H617" t="inlineStr">
        <is>
          <t>L1</t>
        </is>
      </c>
      <c r="I617" t="inlineStr">
        <is>
          <t>ERP core — mixed triage</t>
        </is>
      </c>
    </row>
    <row r="618">
      <c r="A618" t="inlineStr">
        <is>
          <t>CORE-3</t>
        </is>
      </c>
      <c r="B618" t="inlineStr">
        <is>
          <t>$transaction received a resolved audit record; every clock-entry PATCH failed; audit rows outside the tx</t>
        </is>
      </c>
      <c r="C618" t="inlineStr">
        <is>
          <t>Core</t>
        </is>
      </c>
      <c r="D618" t="inlineStr">
        <is>
          <t>P0</t>
        </is>
      </c>
      <c r="E618" t="inlineStr">
        <is>
          <t>Done</t>
        </is>
      </c>
      <c r="F618" t="inlineStr">
        <is>
          <t>Planner 2026-09-30</t>
        </is>
      </c>
      <c r="G618" t="inlineStr">
        <is>
          <t>0e66a1d</t>
        </is>
      </c>
      <c r="H618" t="inlineStr">
        <is>
          <t>L1</t>
        </is>
      </c>
      <c r="I618" t="inlineStr">
        <is>
          <t>write path — saveRecord, intents, read model</t>
        </is>
      </c>
    </row>
    <row r="619">
      <c r="A619" t="inlineStr">
        <is>
          <t>INC-2</t>
        </is>
      </c>
      <c r="B619" t="inlineStr">
        <is>
          <t>Schema deployed before its migration → P2022 on every clockEntry read; crew could not clock in. Rule pd.md 5e.</t>
        </is>
      </c>
      <c r="C619" t="inlineStr">
        <is>
          <t>Process</t>
        </is>
      </c>
      <c r="D619" t="inlineStr">
        <is>
          <t>P0</t>
        </is>
      </c>
      <c r="E619" t="inlineStr">
        <is>
          <t>Done</t>
        </is>
      </c>
      <c r="F619" t="inlineStr">
        <is>
          <t>Planner 2026-09-30</t>
        </is>
      </c>
      <c r="G619" t="inlineStr">
        <is>
          <t>pd.md 5e</t>
        </is>
      </c>
      <c r="H619" t="inlineStr">
        <is>
          <t>⟂</t>
        </is>
      </c>
      <c r="I619" t="inlineStr">
        <is>
          <t>process &amp; housekeeping</t>
        </is>
      </c>
    </row>
    <row r="620">
      <c r="A620" t="inlineStr">
        <is>
          <t>ERR-1</t>
        </is>
      </c>
      <c r="B620" t="inlineStr">
        <is>
          <t>describeError: one definition of "what went wrong", 49 sites</t>
        </is>
      </c>
      <c r="C620" t="inlineStr">
        <is>
          <t>Process</t>
        </is>
      </c>
      <c r="D620" t="inlineStr">
        <is>
          <t>P1</t>
        </is>
      </c>
      <c r="E620" t="inlineStr">
        <is>
          <t>Done</t>
        </is>
      </c>
      <c r="F620" t="inlineStr">
        <is>
          <t>Planner 2026-09-30</t>
        </is>
      </c>
      <c r="G620" t="inlineStr">
        <is>
          <t>ea8cfdb…de6ad3c · report cc20582</t>
        </is>
      </c>
      <c r="H620" t="inlineStr">
        <is>
          <t>⟂</t>
        </is>
      </c>
      <c r="I620" t="inlineStr">
        <is>
          <t>process &amp; housekeeping</t>
        </is>
      </c>
    </row>
    <row r="621">
      <c r="A621" t="inlineStr">
        <is>
          <t>RBAC-CE-1</t>
        </is>
      </c>
      <c r="B621" t="inlineStr">
        <is>
          <t>Seraph gaps on the hours write path: foreign userId accepted; team-scoping ignored tenantId</t>
        </is>
      </c>
      <c r="C621" t="inlineStr">
        <is>
          <t>Seraph</t>
        </is>
      </c>
      <c r="D621" t="inlineStr">
        <is>
          <t>P0</t>
        </is>
      </c>
      <c r="E621" t="inlineStr">
        <is>
          <t>Done</t>
        </is>
      </c>
      <c r="F621" t="inlineStr">
        <is>
          <t>Planner 2026-09-30</t>
        </is>
      </c>
      <c r="G621" t="inlineStr">
        <is>
          <t>b293961</t>
        </is>
      </c>
      <c r="H621" t="inlineStr">
        <is>
          <t>GATE</t>
        </is>
      </c>
      <c r="I621" t="inlineStr">
        <is>
          <t>the seraph — resolver, logicalKey, scoped accessor</t>
        </is>
      </c>
    </row>
    <row r="622">
      <c r="A622" t="inlineStr">
        <is>
          <t>GATE-2</t>
        </is>
      </c>
      <c r="B622" t="inlineStr">
        <is>
          <t>Actor reach bridge: one authority (actor-reach.ts, isTenantHrRole in lib/roles) + pure write policy (22 tests). Crew could approve own hours/leave. Exit: R1-4 scope.reach().</t>
        </is>
      </c>
      <c r="C622" t="inlineStr">
        <is>
          <t>Gates</t>
        </is>
      </c>
      <c r="D622" t="inlineStr">
        <is>
          <t>P0</t>
        </is>
      </c>
      <c r="E622" t="inlineStr">
        <is>
          <t>Done</t>
        </is>
      </c>
      <c r="F622" t="inlineStr">
        <is>
          <t>Planner 2026-09-30</t>
        </is>
      </c>
      <c r="G622" t="inlineStr">
        <is>
          <t>ebb27d6 · f54e0ae · SUPERADMIN everywhere (Florin)</t>
        </is>
      </c>
      <c r="H622" t="inlineStr">
        <is>
          <t>GATE</t>
        </is>
      </c>
      <c r="I622" t="inlineStr">
        <is>
          <t>actor reach · platform access · operator scopes</t>
        </is>
      </c>
    </row>
    <row r="623">
      <c r="A623" t="inlineStr">
        <is>
          <t>GATE-2b</t>
        </is>
      </c>
      <c r="B623" t="inlineStr">
        <is>
          <t>Crew self-service on shifts / shift-tasks / attachments needs reach-on-parent</t>
        </is>
      </c>
      <c r="C623" t="inlineStr">
        <is>
          <t>Gates</t>
        </is>
      </c>
      <c r="D623" t="inlineStr">
        <is>
          <t>P1</t>
        </is>
      </c>
      <c r="E623" t="inlineStr">
        <is>
          <t>Open</t>
        </is>
      </c>
      <c r="F623" t="inlineStr">
        <is>
          <t>Planner 2026-09-30</t>
        </is>
      </c>
      <c r="G623" t="inlineStr">
        <is>
          <t>rides with R1-4</t>
        </is>
      </c>
      <c r="H623" t="inlineStr">
        <is>
          <t>GATE</t>
        </is>
      </c>
      <c r="I623" t="inlineStr">
        <is>
          <t>actor reach · platform access · operator scopes</t>
        </is>
      </c>
    </row>
    <row r="624">
      <c r="A624" t="inlineStr">
        <is>
          <t>CE-TIME-1</t>
        </is>
      </c>
      <c r="B624" t="inlineStr">
        <is>
          <t>Server stamps live clock-in and crew clock-out (phone could backdate)</t>
        </is>
      </c>
      <c r="C624" t="inlineStr">
        <is>
          <t>WorkHub</t>
        </is>
      </c>
      <c r="D624" t="inlineStr">
        <is>
          <t>P0</t>
        </is>
      </c>
      <c r="E624" t="inlineStr">
        <is>
          <t>Done</t>
        </is>
      </c>
      <c r="F624" t="inlineStr">
        <is>
          <t>Planner 2026-09-30</t>
        </is>
      </c>
      <c r="G624" t="inlineStr">
        <is>
          <t>da6977f</t>
        </is>
      </c>
      <c r="H624" t="inlineStr">
        <is>
          <t>L2</t>
        </is>
      </c>
      <c r="I624" t="inlineStr">
        <is>
          <t>WorkHub / time-tracker</t>
        </is>
      </c>
    </row>
    <row r="625">
      <c r="A625" t="inlineStr">
        <is>
          <t>FILES-CREW-1</t>
        </is>
      </c>
      <c r="B625" t="inlineStr">
        <is>
          <t>Crew could list/delete/overwrite every tenant file; whole ERP dataset shipped to crew phones</t>
        </is>
      </c>
      <c r="C625" t="inlineStr">
        <is>
          <t>Storage</t>
        </is>
      </c>
      <c r="D625" t="inlineStr">
        <is>
          <t>P0</t>
        </is>
      </c>
      <c r="E625" t="inlineStr">
        <is>
          <t>Done</t>
        </is>
      </c>
      <c r="F625" t="inlineStr">
        <is>
          <t>Planner 2026-09-30</t>
        </is>
      </c>
      <c r="G625" t="inlineStr">
        <is>
          <t>f8f2aa0 · 3542abb</t>
        </is>
      </c>
      <c r="H625" t="inlineStr">
        <is>
          <t>L0</t>
        </is>
      </c>
      <c r="I625" t="inlineStr">
        <is>
          <t>storage — the one blob door</t>
        </is>
      </c>
    </row>
    <row r="626">
      <c r="A626" t="inlineStr">
        <is>
          <t>FILES-GATE-1</t>
        </is>
      </c>
      <c r="B626" t="inlineStr">
        <is>
          <t>Office roles still reach every file — folds into ENT (function-confined roles, owner grants per role + person overrides)</t>
        </is>
      </c>
      <c r="C626" t="inlineStr">
        <is>
          <t>Entitlement</t>
        </is>
      </c>
      <c r="D626" t="inlineStr">
        <is>
          <t>P1</t>
        </is>
      </c>
      <c r="E626" t="inlineStr">
        <is>
          <t>Open</t>
        </is>
      </c>
      <c r="F626" t="inlineStr">
        <is>
          <t>Planner 2026-09-30</t>
        </is>
      </c>
      <c r="G626" t="inlineStr">
        <is>
          <t>Florin 2026-09-30</t>
        </is>
      </c>
      <c r="H626" t="inlineStr">
        <is>
          <t>MODULE GATE</t>
        </is>
      </c>
      <c r="I626" t="inlineStr">
        <is>
          <t>entitlement — vocabulary &amp; grants (modules → submodules → quota)</t>
        </is>
      </c>
    </row>
    <row r="627">
      <c r="A627" t="inlineStr">
        <is>
          <t>TASK-CREW-1</t>
        </is>
      </c>
      <c r="B627" t="inlineStr">
        <is>
          <t>Crew task status + notes with photos (draft → submit frozen) + read-only change log in WorkHub and ERP</t>
        </is>
      </c>
      <c r="C627" t="inlineStr">
        <is>
          <t>Tasks</t>
        </is>
      </c>
      <c r="D627" t="inlineStr">
        <is>
          <t>P1</t>
        </is>
      </c>
      <c r="E627" t="inlineStr">
        <is>
          <t>Done</t>
        </is>
      </c>
      <c r="F627" t="inlineStr">
        <is>
          <t>Planner 2026-09-30</t>
        </is>
      </c>
      <c r="G627" t="inlineStr">
        <is>
          <t>93bbe1d · TaskNote table migrated by Florin</t>
        </is>
      </c>
      <c r="H627" t="inlineStr">
        <is>
          <t>L3</t>
        </is>
      </c>
      <c r="I627" t="inlineStr">
        <is>
          <t>Tasks submodule</t>
        </is>
      </c>
    </row>
    <row r="628">
      <c r="A628" t="inlineStr">
        <is>
          <t>SHIFT-SUBMIT</t>
        </is>
      </c>
      <c r="B628" t="inlineStr">
        <is>
          <t>A shift is completed ONLY when its worker submits it (5 automatic completions removed); audited</t>
        </is>
      </c>
      <c r="C628" t="inlineStr">
        <is>
          <t>WorkHub</t>
        </is>
      </c>
      <c r="D628" t="inlineStr">
        <is>
          <t>P0</t>
        </is>
      </c>
      <c r="E628" t="inlineStr">
        <is>
          <t>Done</t>
        </is>
      </c>
      <c r="F628" t="inlineStr">
        <is>
          <t>Planner 2026-09-30</t>
        </is>
      </c>
      <c r="G628" t="inlineStr">
        <is>
          <t>bacc329</t>
        </is>
      </c>
      <c r="H628" t="inlineStr">
        <is>
          <t>L2</t>
        </is>
      </c>
      <c r="I628" t="inlineStr">
        <is>
          <t>WorkHub / time-tracker</t>
        </is>
      </c>
    </row>
    <row r="629">
      <c r="A629" t="inlineStr">
        <is>
          <t>CLOCK-2</t>
        </is>
      </c>
      <c r="B629" t="inlineStr">
        <is>
          <t>Clock into a shift more than once; shifts in time order; "clock in without shift"; clock-out no longer rewrites planned shifts</t>
        </is>
      </c>
      <c r="C629" t="inlineStr">
        <is>
          <t>WorkHub</t>
        </is>
      </c>
      <c r="D629" t="inlineStr">
        <is>
          <t>P0</t>
        </is>
      </c>
      <c r="E629" t="inlineStr">
        <is>
          <t>Done</t>
        </is>
      </c>
      <c r="F629" t="inlineStr">
        <is>
          <t>Planner 2026-09-30</t>
        </is>
      </c>
      <c r="G629" t="inlineStr">
        <is>
          <t>24cec9c</t>
        </is>
      </c>
      <c r="H629" t="inlineStr">
        <is>
          <t>L2</t>
        </is>
      </c>
      <c r="I629" t="inlineStr">
        <is>
          <t>WorkHub / time-tracker</t>
        </is>
      </c>
    </row>
    <row r="630">
      <c r="A630" t="inlineStr">
        <is>
          <t>KERN-TIME-1</t>
        </is>
      </c>
      <c r="B630" t="inlineStr">
        <is>
          <t>Kernel shift-time: moments from parts, local dates, pickShiftNow, zoned server time (Europe/Brussels via Intl)</t>
        </is>
      </c>
      <c r="C630" t="inlineStr">
        <is>
          <t>Kernel</t>
        </is>
      </c>
      <c r="D630" t="inlineStr">
        <is>
          <t>P0</t>
        </is>
      </c>
      <c r="E630" t="inlineStr">
        <is>
          <t>Done</t>
        </is>
      </c>
      <c r="F630" t="inlineStr">
        <is>
          <t>Planner 2026-09-30</t>
        </is>
      </c>
      <c r="G630" t="inlineStr">
        <is>
          <t>24cec9c · 8880e5b</t>
        </is>
      </c>
      <c r="H630" t="inlineStr">
        <is>
          <t>L0</t>
        </is>
      </c>
      <c r="I630" t="inlineStr">
        <is>
          <t>time — duration, the break rule</t>
        </is>
      </c>
    </row>
    <row r="631">
      <c r="A631" t="inlineStr">
        <is>
          <t>TENANT-TZ</t>
        </is>
      </c>
      <c r="B631" t="inlineStr">
        <is>
          <t>Per-tenant timezone setting (kernel assumes Europe/Brussels)</t>
        </is>
      </c>
      <c r="C631" t="inlineStr">
        <is>
          <t>Kernel</t>
        </is>
      </c>
      <c r="D631" t="inlineStr">
        <is>
          <t>P2</t>
        </is>
      </c>
      <c r="E631" t="inlineStr">
        <is>
          <t>Open</t>
        </is>
      </c>
      <c r="F631" t="inlineStr">
        <is>
          <t>Planner 2026-09-30</t>
        </is>
      </c>
      <c r="G631" t="inlineStr">
        <is>
          <t>after KERN-TIME-1</t>
        </is>
      </c>
      <c r="H631" t="inlineStr">
        <is>
          <t>L0</t>
        </is>
      </c>
      <c r="I631" t="inlineStr">
        <is>
          <t>time — duration, the break rule</t>
        </is>
      </c>
    </row>
    <row r="632">
      <c r="A632" t="inlineStr">
        <is>
          <t>WH-EXPORT-1</t>
        </is>
      </c>
      <c r="B632" t="inlineStr">
        <is>
          <t>Worker-facing timesheet export (My hours: month → Excel/PDF from the official export)</t>
        </is>
      </c>
      <c r="C632" t="inlineStr">
        <is>
          <t>WorkHub</t>
        </is>
      </c>
      <c r="D632" t="inlineStr">
        <is>
          <t>P1</t>
        </is>
      </c>
      <c r="E632" t="inlineStr">
        <is>
          <t>Done</t>
        </is>
      </c>
      <c r="F632" t="inlineStr">
        <is>
          <t>Planner 2026-09-30</t>
        </is>
      </c>
      <c r="G632" t="inlineStr">
        <is>
          <t>8880e5b</t>
        </is>
      </c>
      <c r="H632" t="inlineStr">
        <is>
          <t>L3</t>
        </is>
      </c>
      <c r="I632" t="inlineStr">
        <is>
          <t>HR — timesheets, workforce</t>
        </is>
      </c>
    </row>
    <row r="633">
      <c r="A633" t="inlineStr">
        <is>
          <t>LATE-1</t>
        </is>
      </c>
      <c r="B633" t="inlineStr">
        <is>
          <t>Two late-entry paths (LateEntryCard → server action, LateEntryForm → HR API) — merge into one</t>
        </is>
      </c>
      <c r="C633" t="inlineStr">
        <is>
          <t>HR</t>
        </is>
      </c>
      <c r="D633" t="inlineStr">
        <is>
          <t>P2</t>
        </is>
      </c>
      <c r="E633" t="inlineStr">
        <is>
          <t>Open</t>
        </is>
      </c>
      <c r="F633" t="inlineStr">
        <is>
          <t>Planner 2026-09-30</t>
        </is>
      </c>
      <c r="G633" t="inlineStr">
        <is>
          <t>found 2026-09-30</t>
        </is>
      </c>
      <c r="H633" t="inlineStr">
        <is>
          <t>L3</t>
        </is>
      </c>
      <c r="I633" t="inlineStr">
        <is>
          <t>HR — timesheets, workforce</t>
        </is>
      </c>
    </row>
    <row r="634">
      <c r="A634" t="inlineStr">
        <is>
          <t>I18N-TT-1</t>
        </is>
      </c>
      <c r="B634" t="inlineStr">
        <is>
          <t>Test guard for the crew i18n instance; Russian completed</t>
        </is>
      </c>
      <c r="C634" t="inlineStr">
        <is>
          <t>Process</t>
        </is>
      </c>
      <c r="D634" t="inlineStr">
        <is>
          <t>P1</t>
        </is>
      </c>
      <c r="E634" t="inlineStr">
        <is>
          <t>Done</t>
        </is>
      </c>
      <c r="F634" t="inlineStr">
        <is>
          <t>Planner 2026-09-30</t>
        </is>
      </c>
      <c r="G634" t="inlineStr">
        <is>
          <t>7ed7735</t>
        </is>
      </c>
      <c r="H634" t="inlineStr">
        <is>
          <t>⟂</t>
        </is>
      </c>
      <c r="I634" t="inlineStr">
        <is>
          <t>CI gates</t>
        </is>
      </c>
    </row>
    <row r="635">
      <c r="A635" t="inlineStr">
        <is>
          <t>WB-A</t>
        </is>
      </c>
      <c r="B635" t="inlineStr">
        <is>
          <t>Werkbon: order giver on the shift (client page, not the empty Contact table)</t>
        </is>
      </c>
      <c r="C635" t="inlineStr">
        <is>
          <t>Werkbon</t>
        </is>
      </c>
      <c r="D635" t="inlineStr">
        <is>
          <t>P1</t>
        </is>
      </c>
      <c r="E635" t="inlineStr">
        <is>
          <t>Done</t>
        </is>
      </c>
      <c r="F635" t="inlineStr">
        <is>
          <t>Planner 2026-09-30</t>
        </is>
      </c>
      <c r="G635" t="inlineStr">
        <is>
          <t>4735871 · column migrated by Florin | Planner 2026-10-01: 4735871 live</t>
        </is>
      </c>
      <c r="H635" t="inlineStr">
        <is>
          <t>L1</t>
        </is>
      </c>
      <c r="I635" t="inlineStr">
        <is>
          <t>document engine (+ archive, attachments)</t>
        </is>
      </c>
    </row>
    <row r="636">
      <c r="A636" t="inlineStr">
        <is>
          <t>WB-B</t>
        </is>
      </c>
      <c r="B636" t="inlineStr">
        <is>
          <t>Werkbon record + recorded membership + crew picker (no signing)</t>
        </is>
      </c>
      <c r="C636" t="inlineStr">
        <is>
          <t>Werkbon</t>
        </is>
      </c>
      <c r="D636" t="inlineStr">
        <is>
          <t>P1</t>
        </is>
      </c>
      <c r="E636" t="inlineStr">
        <is>
          <t>Dropped</t>
        </is>
      </c>
      <c r="F636" t="inlineStr">
        <is>
          <t>Planner 2026-09-30</t>
        </is>
      </c>
      <c r="G636" t="inlineStr">
        <is>
          <t>phasing A → B → C+D → E (Florin) · Superseded 2026-10-01 (Florin): the work order = shifts created together (seriesId) — no separate Werkbon record.</t>
        </is>
      </c>
      <c r="H636" t="inlineStr">
        <is>
          <t>L1</t>
        </is>
      </c>
      <c r="I636" t="inlineStr">
        <is>
          <t>document engine (+ archive, attachments)</t>
        </is>
      </c>
    </row>
    <row r="637">
      <c r="A637" t="inlineStr">
        <is>
          <t>WB-C</t>
        </is>
      </c>
      <c r="B637" t="inlineStr">
        <is>
          <t>Werkbon signing + frozen PDF — ships WITH WB-D</t>
        </is>
      </c>
      <c r="C637" t="inlineStr">
        <is>
          <t>Werkbon</t>
        </is>
      </c>
      <c r="D637" t="inlineStr">
        <is>
          <t>P1</t>
        </is>
      </c>
      <c r="E637" t="inlineStr">
        <is>
          <t>Done</t>
        </is>
      </c>
      <c r="F637" t="inlineStr">
        <is>
          <t>Planner 2026-09-30</t>
        </is>
      </c>
      <c r="G637" t="inlineStr">
        <is>
          <t>the lock has the grain of the work order, not the day · Delivered as WO-3 (d1f24dc): client signs with name, evidence frozen in AuditLog.</t>
        </is>
      </c>
      <c r="H637" t="inlineStr">
        <is>
          <t>L1</t>
        </is>
      </c>
      <c r="I637" t="inlineStr">
        <is>
          <t>document engine (+ archive, attachments)</t>
        </is>
      </c>
    </row>
    <row r="638">
      <c r="A638" t="inlineStr">
        <is>
          <t>WB-D</t>
        </is>
      </c>
      <c r="B638" t="inlineStr">
        <is>
          <t>Route-level transitive freeze of the work order — ships WITH WB-C</t>
        </is>
      </c>
      <c r="C638" t="inlineStr">
        <is>
          <t>Werkbon</t>
        </is>
      </c>
      <c r="D638" t="inlineStr">
        <is>
          <t>P0</t>
        </is>
      </c>
      <c r="E638" t="inlineStr">
        <is>
          <t>Done</t>
        </is>
      </c>
      <c r="F638" t="inlineStr">
        <is>
          <t>Planner 2026-09-30</t>
        </is>
      </c>
      <c r="G638" t="inlineStr">
        <is>
          <t>never freeze by date or worker · Delivered as WO-3: the lock by work-order grain, every writer refuses (work-order-lock.ts).</t>
        </is>
      </c>
      <c r="H638" t="inlineStr">
        <is>
          <t>L1</t>
        </is>
      </c>
      <c r="I638" t="inlineStr">
        <is>
          <t>document engine (+ archive, attachments)</t>
        </is>
      </c>
    </row>
    <row r="639">
      <c r="A639" t="inlineStr">
        <is>
          <t>WB-E</t>
        </is>
      </c>
      <c r="B639" t="inlineStr">
        <is>
          <t>Cron send to the order giver + unsent visibility</t>
        </is>
      </c>
      <c r="C639" t="inlineStr">
        <is>
          <t>Werkbon</t>
        </is>
      </c>
      <c r="D639" t="inlineStr">
        <is>
          <t>P2</t>
        </is>
      </c>
      <c r="E639" t="inlineStr">
        <is>
          <t>Open</t>
        </is>
      </c>
      <c r="F639" t="inlineStr">
        <is>
          <t>Planner 2026-09-30</t>
        </is>
      </c>
      <c r="G639" t="inlineStr">
        <is>
          <t>Continues as WO-4b (PDF at signing, stored, cron send, unsent view).</t>
        </is>
      </c>
      <c r="H639" t="inlineStr">
        <is>
          <t>L1</t>
        </is>
      </c>
      <c r="I639" t="inlineStr">
        <is>
          <t>document engine (+ archive, attachments)</t>
        </is>
      </c>
    </row>
    <row r="640">
      <c r="A640" t="inlineStr">
        <is>
          <t>PEPPOL-1</t>
        </is>
      </c>
      <c r="B640" t="inlineStr">
        <is>
          <t>One Peppol quota table (billing reads enforcement); FREE 5 sent (draft above) / 20 received soft + the payment-method case; PRO/ENT fair use pending the reseller rate</t>
        </is>
      </c>
      <c r="C640" t="inlineStr">
        <is>
          <t>Entitlement</t>
        </is>
      </c>
      <c r="D640" t="inlineStr">
        <is>
          <t>P1</t>
        </is>
      </c>
      <c r="E640" t="inlineStr">
        <is>
          <t>Open</t>
        </is>
      </c>
      <c r="F640" t="inlineStr">
        <is>
          <t>Planner 2026-09-30</t>
        </is>
      </c>
      <c r="G640" t="inlineStr">
        <is>
          <t>feature_matrix.md decisions log 2026-09-30</t>
        </is>
      </c>
      <c r="H640" t="inlineStr">
        <is>
          <t>MODULE GATE</t>
        </is>
      </c>
      <c r="I640" t="inlineStr">
        <is>
          <t>entitlement — vocabulary &amp; grants (modules → submodules → quota)</t>
        </is>
      </c>
    </row>
    <row r="641">
      <c r="A641" t="inlineStr">
        <is>
          <t>BRAND-1</t>
        </is>
      </c>
      <c r="B641" t="inlineStr">
        <is>
          <t>Basic branding (logo, stationery, colour, templates) never gated on any tier</t>
        </is>
      </c>
      <c r="C641" t="inlineStr">
        <is>
          <t>Entitlement</t>
        </is>
      </c>
      <c r="D641" t="inlineStr">
        <is>
          <t>P1</t>
        </is>
      </c>
      <c r="E641" t="inlineStr">
        <is>
          <t>Open</t>
        </is>
      </c>
      <c r="F641" t="inlineStr">
        <is>
          <t>Planner 2026-09-30</t>
        </is>
      </c>
      <c r="G641" t="inlineStr">
        <is>
          <t>Florin 2026-09-30</t>
        </is>
      </c>
      <c r="H641" t="inlineStr">
        <is>
          <t>MODULE GATE</t>
        </is>
      </c>
      <c r="I641" t="inlineStr">
        <is>
          <t>entitlement — vocabulary &amp; grants (modules → submodules → quota)</t>
        </is>
      </c>
    </row>
    <row r="642">
      <c r="A642" t="inlineStr">
        <is>
          <t>BATIPRIX-1</t>
        </is>
      </c>
      <c r="B642" t="inlineStr">
        <is>
          <t>Batiprix = Enterprise-only add-on (retire the ENTERPRISE_BATIPRIX tier)</t>
        </is>
      </c>
      <c r="C642" t="inlineStr">
        <is>
          <t>Entitlement</t>
        </is>
      </c>
      <c r="D642" t="inlineStr">
        <is>
          <t>P2</t>
        </is>
      </c>
      <c r="E642" t="inlineStr">
        <is>
          <t>Open</t>
        </is>
      </c>
      <c r="F642" t="inlineStr">
        <is>
          <t>Planner 2026-09-30</t>
        </is>
      </c>
      <c r="G642" t="inlineStr">
        <is>
          <t>Florin 2026-09-30</t>
        </is>
      </c>
      <c r="H642" t="inlineStr">
        <is>
          <t>MODULE GATE</t>
        </is>
      </c>
      <c r="I642" t="inlineStr">
        <is>
          <t>entitlement — vocabulary &amp; grants (modules → submodules → quota)</t>
        </is>
      </c>
    </row>
    <row r="643">
      <c r="A643" t="inlineStr">
        <is>
          <t>PRO-DEF</t>
        </is>
      </c>
      <c r="B643" t="inlineStr">
        <is>
          <t>Define PRO — draft with three shapes (the HR/WorkHub contradiction)</t>
        </is>
      </c>
      <c r="C643" t="inlineStr">
        <is>
          <t>Entitlement</t>
        </is>
      </c>
      <c r="D643" t="inlineStr">
        <is>
          <t>P1</t>
        </is>
      </c>
      <c r="E643" t="inlineStr">
        <is>
          <t>Decided</t>
        </is>
      </c>
      <c r="F643" t="inlineStr">
        <is>
          <t>Planner 2026-09-30</t>
        </is>
      </c>
      <c r="G643" t="inlineStr">
        <is>
          <t>coral-draft-pro-tier.md — awaiting Florin Florin 2026-10-03: PRO module set stays OPEN — defined as we go; raise it in conversations, do not force it now.</t>
        </is>
      </c>
      <c r="H643" t="inlineStr">
        <is>
          <t>MODULE GATE</t>
        </is>
      </c>
      <c r="I643" t="inlineStr">
        <is>
          <t>entitlement — vocabulary &amp; grants (modules → submodules → quota)</t>
        </is>
      </c>
    </row>
    <row r="644">
      <c r="A644" t="inlineStr">
        <is>
          <t>OPEN-ENTRY-IDX</t>
        </is>
      </c>
      <c r="B644" t="inlineStr">
        <is>
          <t>Partial unique index: one open clock entry per worker (durable form of WHS-1b)</t>
        </is>
      </c>
      <c r="C644" t="inlineStr">
        <is>
          <t>Core</t>
        </is>
      </c>
      <c r="D644" t="inlineStr">
        <is>
          <t>P2</t>
        </is>
      </c>
      <c r="E644" t="inlineStr">
        <is>
          <t>Open</t>
        </is>
      </c>
      <c r="F644" t="inlineStr">
        <is>
          <t>Planner 2026-09-30</t>
        </is>
      </c>
      <c r="G644" t="inlineStr">
        <is>
          <t>Florin's migration, when wanted</t>
        </is>
      </c>
      <c r="H644" t="inlineStr">
        <is>
          <t>L1</t>
        </is>
      </c>
      <c r="I644" t="inlineStr">
        <is>
          <t>write path — concurrency</t>
        </is>
      </c>
    </row>
    <row r="645">
      <c r="A645" t="inlineStr">
        <is>
          <t>BRANCH-PROTECT</t>
        </is>
      </c>
      <c r="B645" t="inlineStr">
        <is>
          <t>Branch protection on main requiring CI green (red commits reached main 27 + 28 Sep)</t>
        </is>
      </c>
      <c r="C645" t="inlineStr">
        <is>
          <t>Process</t>
        </is>
      </c>
      <c r="D645" t="inlineStr">
        <is>
          <t>P1</t>
        </is>
      </c>
      <c r="E645" t="inlineStr">
        <is>
          <t>Open</t>
        </is>
      </c>
      <c r="F645" t="inlineStr">
        <is>
          <t>Planner 2026-09-30</t>
        </is>
      </c>
      <c r="G645" t="inlineStr">
        <is>
          <t>GitHub setting — Florin</t>
        </is>
      </c>
      <c r="H645" t="inlineStr">
        <is>
          <t>⟂</t>
        </is>
      </c>
      <c r="I645" t="inlineStr">
        <is>
          <t>CI gates</t>
        </is>
      </c>
    </row>
    <row r="646">
      <c r="A646" t="inlineStr">
        <is>
          <t>ROADMAP-SUM</t>
        </is>
      </c>
      <c r="B646" t="inlineStr">
        <is>
          <t>Summary sheet counted rows 2–334 of 608</t>
        </is>
      </c>
      <c r="C646" t="inlineStr">
        <is>
          <t>Process</t>
        </is>
      </c>
      <c r="D646" t="inlineStr">
        <is>
          <t>P2</t>
        </is>
      </c>
      <c r="E646" t="inlineStr">
        <is>
          <t>Done</t>
        </is>
      </c>
      <c r="F646" t="inlineStr">
        <is>
          <t>Planner 2026-09-30</t>
        </is>
      </c>
      <c r="G646" t="inlineStr">
        <is>
          <t>fixed 2026-09-30</t>
        </is>
      </c>
      <c r="H646" t="inlineStr">
        <is>
          <t>⟂</t>
        </is>
      </c>
      <c r="I646" t="inlineStr">
        <is>
          <t>process &amp; housekeeping</t>
        </is>
      </c>
    </row>
    <row r="647">
      <c r="A647" t="inlineStr">
        <is>
          <t>CREW-ERP-1</t>
        </is>
      </c>
      <c r="B647" t="inlineStr">
        <is>
          <t>ERP database doors (12 server actions) had no actor check — a crew phone held the tenant's db ids and could delete a database; crew phones also received IBAN/VAT/Peppol id/invoice numbering</t>
        </is>
      </c>
      <c r="C647" t="inlineStr">
        <is>
          <t>Gates</t>
        </is>
      </c>
      <c r="D647" t="inlineStr">
        <is>
          <t>P0</t>
        </is>
      </c>
      <c r="E647" t="inlineStr">
        <is>
          <t>Done</t>
        </is>
      </c>
      <c r="F647" t="inlineStr">
        <is>
          <t>Planner 2026-10-01</t>
        </is>
      </c>
      <c r="G647" t="inlineStr">
        <is>
          <t>51039bc</t>
        </is>
      </c>
      <c r="H647" t="inlineStr">
        <is>
          <t>GATE</t>
        </is>
      </c>
      <c r="I647" t="inlineStr">
        <is>
          <t>actor reach · platform access · operator scopes</t>
        </is>
      </c>
    </row>
    <row r="648">
      <c r="A648" t="inlineStr">
        <is>
          <t>SHIFT-DST-1</t>
        </is>
      </c>
      <c r="B648" t="inlineStr">
        <is>
          <t>Recurring/multi-day shift creation slipped one day after the spring clock change (UTC midnight + local days + toISOString)</t>
        </is>
      </c>
      <c r="C648" t="inlineStr">
        <is>
          <t>HR</t>
        </is>
      </c>
      <c r="D648" t="inlineStr">
        <is>
          <t>P1</t>
        </is>
      </c>
      <c r="E648" t="inlineStr">
        <is>
          <t>Done</t>
        </is>
      </c>
      <c r="F648" t="inlineStr">
        <is>
          <t>Planner 2026-10-01</t>
        </is>
      </c>
      <c r="G648" t="inlineStr">
        <is>
          <t>4735871</t>
        </is>
      </c>
      <c r="H648" t="inlineStr">
        <is>
          <t>L3</t>
        </is>
      </c>
      <c r="I648" t="inlineStr">
        <is>
          <t>HR — timesheets, workforce</t>
        </is>
      </c>
    </row>
    <row r="649">
      <c r="A649" t="inlineStr">
        <is>
          <t>SHIFT-FORM-EDIT</t>
        </is>
      </c>
      <c r="B649" t="inlineStr">
        <is>
          <t>Order-giver picker on the EDIT shift dialog (WB-A covered creation only)</t>
        </is>
      </c>
      <c r="C649" t="inlineStr">
        <is>
          <t>Werkbon</t>
        </is>
      </c>
      <c r="D649" t="inlineStr">
        <is>
          <t>P2</t>
        </is>
      </c>
      <c r="E649" t="inlineStr">
        <is>
          <t>Open</t>
        </is>
      </c>
      <c r="F649" t="inlineStr">
        <is>
          <t>Planner 2026-10-01</t>
        </is>
      </c>
      <c r="H649" t="inlineStr">
        <is>
          <t>L1</t>
        </is>
      </c>
      <c r="I649" t="inlineStr">
        <is>
          <t>document engine (+ archive, attachments)</t>
        </is>
      </c>
    </row>
    <row r="650">
      <c r="A650" t="inlineStr">
        <is>
          <t>OFFLINE-1</t>
        </is>
      </c>
      <c r="B650" t="inlineStr">
        <is>
          <t>Offline clocking: clock in/out without signal, queued on the phone and synced later; every item shows its own sync state, plus a banner while anything is unsynced. Builds on the kernel offline queue (the queued intent carries its own time — CE-TIME-1).</t>
        </is>
      </c>
      <c r="C650" t="inlineStr">
        <is>
          <t>HR · WorkHub</t>
        </is>
      </c>
      <c r="D650" t="inlineStr">
        <is>
          <t>P1</t>
        </is>
      </c>
      <c r="E650" t="inlineStr">
        <is>
          <t>Open</t>
        </is>
      </c>
      <c r="F650" t="inlineStr">
        <is>
          <t>Florin 2026-10-02 · Jibble review (coral-backlog-jibble.md)</t>
        </is>
      </c>
      <c r="G650" t="inlineStr">
        <is>
          <t>PLANNED</t>
        </is>
      </c>
      <c r="H650" t="inlineStr">
        <is>
          <t>L2</t>
        </is>
      </c>
      <c r="I650" t="inlineStr">
        <is>
          <t>HR · WorkHub</t>
        </is>
      </c>
    </row>
    <row r="651">
      <c r="A651" t="inlineStr">
        <is>
          <t>PAYROLL-1</t>
        </is>
      </c>
      <c r="B651" t="inlineStr">
        <is>
          <t>Payroll export to the social secretariat (SD Worx, Acerta, Partena, Securex…) — export only, NO payroll math in-house; a flag for self-employed workers (excluded from the payroll export).</t>
        </is>
      </c>
      <c r="C651" t="inlineStr">
        <is>
          <t>HR · Timesheet reporting</t>
        </is>
      </c>
      <c r="D651" t="inlineStr">
        <is>
          <t>P1</t>
        </is>
      </c>
      <c r="E651" t="inlineStr">
        <is>
          <t>Open</t>
        </is>
      </c>
      <c r="F651" t="inlineStr">
        <is>
          <t>Florin 2026-10-02 · Jibble review (coral-backlog-jibble.md)</t>
        </is>
      </c>
      <c r="G651" t="inlineStr">
        <is>
          <t>PLANNED</t>
        </is>
      </c>
      <c r="H651" t="inlineStr">
        <is>
          <t>L2</t>
        </is>
      </c>
      <c r="I651" t="inlineStr">
        <is>
          <t>HR · Timesheet reporting</t>
        </is>
      </c>
    </row>
    <row r="652">
      <c r="A652" t="inlineStr">
        <is>
          <t>GEO-2</t>
        </is>
      </c>
      <c r="B652" t="inlineStr">
        <is>
          <t>Our own location explanation BEFORE the browser's permission prompt (what is recorded, when, why — clock events only), so the crew understands before the OS asks.</t>
        </is>
      </c>
      <c r="C652" t="inlineStr">
        <is>
          <t>HR · WorkHub</t>
        </is>
      </c>
      <c r="D652" t="inlineStr">
        <is>
          <t>P1</t>
        </is>
      </c>
      <c r="E652" t="inlineStr">
        <is>
          <t>In progress</t>
        </is>
      </c>
      <c r="F652" t="inlineStr">
        <is>
          <t>Florin 2026-10-02 · Jibble review (coral-backlog-jibble.md)</t>
        </is>
      </c>
      <c r="G652" t="inlineStr">
        <is>
          <t>PLANNED Plan approved; M1 approved 2026-10-03, GO M2. M2 reported done 2026-10-03.</t>
        </is>
      </c>
      <c r="H652" t="inlineStr">
        <is>
          <t>L2</t>
        </is>
      </c>
      <c r="I652" t="inlineStr">
        <is>
          <t>HR · WorkHub</t>
        </is>
      </c>
    </row>
    <row r="653">
      <c r="A653" t="inlineStr">
        <is>
          <t>TEAM-1</t>
        </is>
      </c>
      <c r="B653" t="inlineStr">
        <is>
          <t>Teams: foreman role in HrTeamMember; a shift assigned to a team fans out to its members; the foreman enters the crew's hours.</t>
        </is>
      </c>
      <c r="C653" t="inlineStr">
        <is>
          <t>HR · Scheduling</t>
        </is>
      </c>
      <c r="D653" t="inlineStr">
        <is>
          <t>P2</t>
        </is>
      </c>
      <c r="E653" t="inlineStr">
        <is>
          <t>Open</t>
        </is>
      </c>
      <c r="F653" t="inlineStr">
        <is>
          <t>Florin 2026-10-02 · Jibble review (coral-backlog-jibble.md)</t>
        </is>
      </c>
      <c r="G653" t="inlineStr">
        <is>
          <t>LATER</t>
        </is>
      </c>
      <c r="H653" t="inlineStr">
        <is>
          <t>L2</t>
        </is>
      </c>
      <c r="I653" t="inlineStr">
        <is>
          <t>HR · Scheduling</t>
        </is>
      </c>
    </row>
    <row r="654">
      <c r="A654" t="inlineStr">
        <is>
          <t>KIOSK-1</t>
        </is>
      </c>
      <c r="B654" t="inlineStr">
        <is>
          <t>Kiosk: a shared on-site device where workers clock in (PIN / QR / NFC).</t>
        </is>
      </c>
      <c r="C654" t="inlineStr">
        <is>
          <t>HR · WorkHub</t>
        </is>
      </c>
      <c r="D654" t="inlineStr">
        <is>
          <t>P2</t>
        </is>
      </c>
      <c r="E654" t="inlineStr">
        <is>
          <t>Open</t>
        </is>
      </c>
      <c r="F654" t="inlineStr">
        <is>
          <t>Florin 2026-10-02 · Jibble review (coral-backlog-jibble.md)</t>
        </is>
      </c>
      <c r="G654" t="inlineStr">
        <is>
          <t>LATER</t>
        </is>
      </c>
      <c r="H654" t="inlineStr">
        <is>
          <t>L2</t>
        </is>
      </c>
      <c r="I654" t="inlineStr">
        <is>
          <t>HR · WorkHub</t>
        </is>
      </c>
    </row>
    <row r="655">
      <c r="A655" t="inlineStr">
        <is>
          <t>REPORT-1</t>
        </is>
      </c>
      <c r="B655" t="inlineStr">
        <is>
          <t>Reports: planned vs actual (shift vs clocked hours) and attendance (late, absent, no-show).</t>
        </is>
      </c>
      <c r="C655" t="inlineStr">
        <is>
          <t>HR · Timesheet reporting</t>
        </is>
      </c>
      <c r="D655" t="inlineStr">
        <is>
          <t>P2</t>
        </is>
      </c>
      <c r="E655" t="inlineStr">
        <is>
          <t>Open</t>
        </is>
      </c>
      <c r="F655" t="inlineStr">
        <is>
          <t>Florin 2026-10-02 · Jibble review (coral-backlog-jibble.md)</t>
        </is>
      </c>
      <c r="G655" t="inlineStr">
        <is>
          <t>LATER</t>
        </is>
      </c>
      <c r="H655" t="inlineStr">
        <is>
          <t>L2</t>
        </is>
      </c>
      <c r="I655" t="inlineStr">
        <is>
          <t>HR · Timesheet reporting</t>
        </is>
      </c>
    </row>
    <row r="656">
      <c r="A656" t="inlineStr">
        <is>
          <t>HR-LIVE-1</t>
        </is>
      </c>
      <c r="B656" t="inlineStr">
        <is>
          <t>Who is in now — on the HR dashboard (office), NOT in the WorkHub.</t>
        </is>
      </c>
      <c r="C656" t="inlineStr">
        <is>
          <t>HR · Dashboard</t>
        </is>
      </c>
      <c r="D656" t="inlineStr">
        <is>
          <t>P2</t>
        </is>
      </c>
      <c r="E656" t="inlineStr">
        <is>
          <t>Open</t>
        </is>
      </c>
      <c r="F656" t="inlineStr">
        <is>
          <t>Florin 2026-10-02 · Jibble review (coral-backlog-jibble.md)</t>
        </is>
      </c>
      <c r="G656" t="inlineStr">
        <is>
          <t>LATER</t>
        </is>
      </c>
      <c r="H656" t="inlineStr">
        <is>
          <t>L2</t>
        </is>
      </c>
      <c r="I656" t="inlineStr">
        <is>
          <t>HR · Dashboard</t>
        </is>
      </c>
    </row>
    <row r="657">
      <c r="A657" t="inlineStr">
        <is>
          <t>AI-1</t>
        </is>
      </c>
      <c r="B657" t="inlineStr">
        <is>
          <t>Claude assistant over the tenant's data — only after R1 (tenancy) is closed.</t>
        </is>
      </c>
      <c r="C657" t="inlineStr">
        <is>
          <t>Platform</t>
        </is>
      </c>
      <c r="D657" t="inlineStr">
        <is>
          <t>P3</t>
        </is>
      </c>
      <c r="E657" t="inlineStr">
        <is>
          <t>Open</t>
        </is>
      </c>
      <c r="F657" t="inlineStr">
        <is>
          <t>Florin 2026-10-02 · Jibble review (coral-backlog-jibble.md)</t>
        </is>
      </c>
      <c r="G657" t="inlineStr">
        <is>
          <t>LATER — after R1</t>
        </is>
      </c>
      <c r="H657" t="inlineStr">
        <is>
          <t>L1</t>
        </is>
      </c>
      <c r="I657" t="inlineStr">
        <is>
          <t>Platform</t>
        </is>
      </c>
    </row>
    <row r="658">
      <c r="A658" t="inlineStr">
        <is>
          <t>REJ-FACE</t>
        </is>
      </c>
      <c r="B658" t="inlineStr">
        <is>
          <t>Face recognition / selfie at clock-in.</t>
        </is>
      </c>
      <c r="C658" t="inlineStr">
        <is>
          <t>HR · WorkHub</t>
        </is>
      </c>
      <c r="D658" t="inlineStr">
        <is>
          <t>P4</t>
        </is>
      </c>
      <c r="E658" t="inlineStr">
        <is>
          <t>Dropped</t>
        </is>
      </c>
      <c r="F658" t="inlineStr">
        <is>
          <t>Florin 2026-10-02 · Jibble review (coral-backlog-jibble.md)</t>
        </is>
      </c>
      <c r="G658" t="inlineStr">
        <is>
          <t>REJECTED — biometrics (GDPR special category), little value next to signature + location record</t>
        </is>
      </c>
      <c r="H658" t="inlineStr">
        <is>
          <t>L2</t>
        </is>
      </c>
      <c r="I658" t="inlineStr">
        <is>
          <t>HR · WorkHub</t>
        </is>
      </c>
    </row>
    <row r="659">
      <c r="A659" t="inlineStr">
        <is>
          <t>REJ-LIVELOC</t>
        </is>
      </c>
      <c r="B659" t="inlineStr">
        <is>
          <t>Live location tracking during work.</t>
        </is>
      </c>
      <c r="C659" t="inlineStr">
        <is>
          <t>HR · WorkHub</t>
        </is>
      </c>
      <c r="D659" t="inlineStr">
        <is>
          <t>P4</t>
        </is>
      </c>
      <c r="E659" t="inlineStr">
        <is>
          <t>Dropped</t>
        </is>
      </c>
      <c r="F659" t="inlineStr">
        <is>
          <t>Florin 2026-10-02 · Jibble review (coral-backlog-jibble.md)</t>
        </is>
      </c>
      <c r="G659" t="inlineStr">
        <is>
          <t>REJECTED — it gets promoted to the single source of truth and conflicts with signed hours</t>
        </is>
      </c>
      <c r="H659" t="inlineStr">
        <is>
          <t>L2</t>
        </is>
      </c>
      <c r="I659" t="inlineStr">
        <is>
          <t>HR · WorkHub</t>
        </is>
      </c>
    </row>
    <row r="660">
      <c r="A660" t="inlineStr">
        <is>
          <t>SHIFT-LINK-1</t>
        </is>
      </c>
      <c r="B660" t="inlineStr">
        <is>
          <t>Hours ↔ shifts: auto-link a recorded entry to the one overlapping shift; review card (editable suggestion) in My hours + Timesheets</t>
        </is>
      </c>
      <c r="C660" t="inlineStr">
        <is>
          <t>HR · WorkHub</t>
        </is>
      </c>
      <c r="D660" t="inlineStr">
        <is>
          <t>P1</t>
        </is>
      </c>
      <c r="E660" t="inlineStr">
        <is>
          <t>Done</t>
        </is>
      </c>
      <c r="F660" t="inlineStr">
        <is>
          <t>bf08331</t>
        </is>
      </c>
      <c r="G660" t="inlineStr">
        <is>
          <t>Live 2026-10-01</t>
        </is>
      </c>
      <c r="H660" t="inlineStr">
        <is>
          <t>L2</t>
        </is>
      </c>
      <c r="I660" t="inlineStr">
        <is>
          <t>WorkHub / time-tracker</t>
        </is>
      </c>
    </row>
    <row r="661">
      <c r="A661" t="inlineStr">
        <is>
          <t>WH-LEAN-1</t>
        </is>
      </c>
      <c r="B661" t="inlineStr">
        <is>
          <t>WorkHub stops loading the ERP store at start-up (office roles too); site visit loads on demand</t>
        </is>
      </c>
      <c r="C661" t="inlineStr">
        <is>
          <t>HR · WorkHub</t>
        </is>
      </c>
      <c r="D661" t="inlineStr">
        <is>
          <t>P1</t>
        </is>
      </c>
      <c r="E661" t="inlineStr">
        <is>
          <t>Done</t>
        </is>
      </c>
      <c r="F661" t="inlineStr">
        <is>
          <t>7b77809</t>
        </is>
      </c>
      <c r="G661" t="inlineStr">
        <is>
          <t>Live 2026-10-01</t>
        </is>
      </c>
      <c r="H661" t="inlineStr">
        <is>
          <t>L2</t>
        </is>
      </c>
      <c r="I661" t="inlineStr">
        <is>
          <t>WorkHub / time-tracker</t>
        </is>
      </c>
    </row>
    <row r="662">
      <c r="A662" t="inlineStr">
        <is>
          <t>LATE-TZ-1</t>
        </is>
      </c>
      <c r="B662" t="inlineStr">
        <is>
          <t>Late/manual entries sent without a zone landed 2 h late — the phone sends instants; server refuses zone-less times</t>
        </is>
      </c>
      <c r="C662" t="inlineStr">
        <is>
          <t>HR · WorkHub</t>
        </is>
      </c>
      <c r="D662" t="inlineStr">
        <is>
          <t>P0</t>
        </is>
      </c>
      <c r="E662" t="inlineStr">
        <is>
          <t>Done</t>
        </is>
      </c>
      <c r="F662" t="inlineStr">
        <is>
          <t>32c61f9</t>
        </is>
      </c>
      <c r="G662" t="inlineStr">
        <is>
          <t>Live 2026-10-01. Past entries repaired 2026-10-03 by Florin: 11 entries + 1 shift (late-entry-tz-repair-2026-10-03.sql). Left by hand: cmrm3n2rd (out before in); cmuczfbem already edited.</t>
        </is>
      </c>
      <c r="H662" t="inlineStr">
        <is>
          <t>L2</t>
        </is>
      </c>
      <c r="I662" t="inlineStr">
        <is>
          <t>WorkHub / time-tracker</t>
        </is>
      </c>
    </row>
    <row r="663">
      <c r="A663" t="inlineStr">
        <is>
          <t>WO-1</t>
        </is>
      </c>
      <c r="B663" t="inlineStr">
        <is>
          <t>The shift opens as a work order — tabs Info · Hours · Tasks · Notes · Sign; full-screen on the phone</t>
        </is>
      </c>
      <c r="C663" t="inlineStr">
        <is>
          <t>HR · WorkHub</t>
        </is>
      </c>
      <c r="D663" t="inlineStr">
        <is>
          <t>P1</t>
        </is>
      </c>
      <c r="E663" t="inlineStr">
        <is>
          <t>Done</t>
        </is>
      </c>
      <c r="F663" t="inlineStr">
        <is>
          <t>58f101b, 99bde84</t>
        </is>
      </c>
      <c r="G663" t="inlineStr">
        <is>
          <t>Live 2026-10-01</t>
        </is>
      </c>
      <c r="H663" t="inlineStr">
        <is>
          <t>L2</t>
        </is>
      </c>
      <c r="I663" t="inlineStr">
        <is>
          <t>WorkHub / time-tracker</t>
        </is>
      </c>
    </row>
    <row r="664">
      <c r="A664" t="inlineStr">
        <is>
          <t>WO-2</t>
        </is>
      </c>
      <c r="B664" t="inlineStr">
        <is>
          <t>Scheduler: execution address, materials flag, crew note; shifts created together = one work order (seriesId)</t>
        </is>
      </c>
      <c r="C664" t="inlineStr">
        <is>
          <t>HR · Scheduling</t>
        </is>
      </c>
      <c r="D664" t="inlineStr">
        <is>
          <t>P1</t>
        </is>
      </c>
      <c r="E664" t="inlineStr">
        <is>
          <t>Done</t>
        </is>
      </c>
      <c r="F664" t="inlineStr">
        <is>
          <t>27ceff5</t>
        </is>
      </c>
      <c r="G664" t="inlineStr">
        <is>
          <t>Migration 20261001090000 (Florin)</t>
        </is>
      </c>
      <c r="H664" t="inlineStr">
        <is>
          <t>L3</t>
        </is>
      </c>
      <c r="I664" t="inlineStr">
        <is>
          <t>HR — scheduling</t>
        </is>
      </c>
    </row>
    <row r="665">
      <c r="A665" t="inlineStr">
        <is>
          <t>WO-3</t>
        </is>
      </c>
      <c r="B665" t="inlineStr">
        <is>
          <t>Client signs the work order (name + signature); evidence frozen; the lock by work-order grain, every writer refuses</t>
        </is>
      </c>
      <c r="C665" t="inlineStr">
        <is>
          <t>Documents</t>
        </is>
      </c>
      <c r="D665" t="inlineStr">
        <is>
          <t>P0</t>
        </is>
      </c>
      <c r="E665" t="inlineStr">
        <is>
          <t>Done</t>
        </is>
      </c>
      <c r="F665" t="inlineStr">
        <is>
          <t>d1f24dc, 69f8ddc</t>
        </is>
      </c>
      <c r="G665">
        <f> WB-C + WB-D; serializable re-check</f>
        <v/>
      </c>
      <c r="H665" t="inlineStr">
        <is>
          <t>L1</t>
        </is>
      </c>
      <c r="I665" t="inlineStr">
        <is>
          <t>document engine (+ archive, attachments)</t>
        </is>
      </c>
    </row>
    <row r="666">
      <c r="A666" t="inlineStr">
        <is>
          <t>WO-4a</t>
        </is>
      </c>
      <c r="B666" t="inlineStr">
        <is>
          <t>Signed work order PDF renderer (pure: view model → PDF, IBM Plex, Brussels time, page breaks)</t>
        </is>
      </c>
      <c r="C666" t="inlineStr">
        <is>
          <t>Documents</t>
        </is>
      </c>
      <c r="D666" t="inlineStr">
        <is>
          <t>P1</t>
        </is>
      </c>
      <c r="E666" t="inlineStr">
        <is>
          <t>In progress</t>
        </is>
      </c>
      <c r="F666" t="inlineStr">
        <is>
          <t>coder plan-first</t>
        </is>
      </c>
      <c r="G666" t="inlineStr">
        <is>
          <t>M1 ✅ M2 ✅, M3 next (fr/en, edge cases)</t>
        </is>
      </c>
      <c r="H666" t="inlineStr">
        <is>
          <t>L1</t>
        </is>
      </c>
      <c r="I666" t="inlineStr">
        <is>
          <t>document engine (+ archive, attachments)</t>
        </is>
      </c>
    </row>
    <row r="667">
      <c r="A667" t="inlineStr">
        <is>
          <t>WO-4b</t>
        </is>
      </c>
      <c r="B667" t="inlineStr">
        <is>
          <t>PDF generated AT signing, stored once; cron send to the order giver; unsent visibility (walkdown §11a)</t>
        </is>
      </c>
      <c r="C667" t="inlineStr">
        <is>
          <t>Documents</t>
        </is>
      </c>
      <c r="D667" t="inlineStr">
        <is>
          <t>P1</t>
        </is>
      </c>
      <c r="E667" t="inlineStr">
        <is>
          <t>Open</t>
        </is>
      </c>
      <c r="F667" t="inlineStr">
        <is>
          <t>coral-work-order-tabs.md</t>
        </is>
      </c>
      <c r="G667" t="inlineStr">
        <is>
          <t>Planner. Prints shift description + crew notes (Florin 2026-10-02) Florin 2026-10-03: sending is NOT automatic — the signed PDF passes admin review first (like hours approval), then is sent. Migration via the usual SOP. PDF file name (Florin 2026-10-03): localised "Werkbon" + work order nr + date (nl Werkbon / fr Bon de travail / en Work order).</t>
        </is>
      </c>
      <c r="H667" t="inlineStr">
        <is>
          <t>L1</t>
        </is>
      </c>
      <c r="I667" t="inlineStr">
        <is>
          <t>document engine (+ archive, attachments)</t>
        </is>
      </c>
    </row>
    <row r="668">
      <c r="A668" t="inlineStr">
        <is>
          <t>GEO-1</t>
        </is>
      </c>
      <c r="B668" t="inlineStr">
        <is>
          <t>Clock-in/out address + distance to site (record, never block); Geoapify now, Google later</t>
        </is>
      </c>
      <c r="C668" t="inlineStr">
        <is>
          <t>HR · WorkHub</t>
        </is>
      </c>
      <c r="D668" t="inlineStr">
        <is>
          <t>P1</t>
        </is>
      </c>
      <c r="E668" t="inlineStr">
        <is>
          <t>Done</t>
        </is>
      </c>
      <c r="F668" t="inlineStr">
        <is>
          <t>e125d4a, 70180c2</t>
        </is>
      </c>
      <c r="G668" t="inlineStr">
        <is>
          <t>Migration 20261001180000 (Florin)</t>
        </is>
      </c>
      <c r="H668" t="inlineStr">
        <is>
          <t>L2</t>
        </is>
      </c>
      <c r="I668" t="inlineStr">
        <is>
          <t>WorkHub / time-tracker</t>
        </is>
      </c>
    </row>
    <row r="669">
      <c r="A669" t="inlineStr">
        <is>
          <t>HR-TS-8</t>
        </is>
      </c>
      <c r="B669" t="inlineStr">
        <is>
          <t>Manual entry: searchable project, Belgian date/time pickers; night work = next day</t>
        </is>
      </c>
      <c r="C669" t="inlineStr">
        <is>
          <t>HR · Timesheet reporting</t>
        </is>
      </c>
      <c r="D669" t="inlineStr">
        <is>
          <t>P2</t>
        </is>
      </c>
      <c r="E669" t="inlineStr">
        <is>
          <t>Done</t>
        </is>
      </c>
      <c r="F669" t="inlineStr">
        <is>
          <t>ff9e5cc, 638bf2c</t>
        </is>
      </c>
      <c r="H669" t="inlineStr">
        <is>
          <t>L3</t>
        </is>
      </c>
      <c r="I669" t="inlineStr">
        <is>
          <t>HR — timesheets</t>
        </is>
      </c>
    </row>
    <row r="670">
      <c r="A670" t="inlineStr">
        <is>
          <t>TS-INV-1</t>
        </is>
      </c>
      <c r="B670" t="inlineStr">
        <is>
          <t>Hour statuses approved · denied · invoiced · non-billable; invoiced locked like approved</t>
        </is>
      </c>
      <c r="C670" t="inlineStr">
        <is>
          <t>HR · Timesheet reporting</t>
        </is>
      </c>
      <c r="D670" t="inlineStr">
        <is>
          <t>P1</t>
        </is>
      </c>
      <c r="E670" t="inlineStr">
        <is>
          <t>Done</t>
        </is>
      </c>
      <c r="F670" t="inlineStr">
        <is>
          <t>48f1d2d</t>
        </is>
      </c>
      <c r="G670" t="inlineStr">
        <is>
          <t>Migration 20261002090000</t>
        </is>
      </c>
      <c r="H670" t="inlineStr">
        <is>
          <t>L3</t>
        </is>
      </c>
      <c r="I670" t="inlineStr">
        <is>
          <t>HR — timesheets</t>
        </is>
      </c>
    </row>
    <row r="671">
      <c r="A671" t="inlineStr">
        <is>
          <t>TS-INV-2</t>
        </is>
      </c>
      <c r="B671" t="inlineStr">
        <is>
          <t>"Factureer selectie": selected hours → draft invoice (one client, rate typed, a line per worker per day)</t>
        </is>
      </c>
      <c r="C671" t="inlineStr">
        <is>
          <t>HR · Timesheet reporting</t>
        </is>
      </c>
      <c r="D671" t="inlineStr">
        <is>
          <t>P1</t>
        </is>
      </c>
      <c r="E671" t="inlineStr">
        <is>
          <t>Done</t>
        </is>
      </c>
      <c r="F671" t="inlineStr">
        <is>
          <t>cd8fba3</t>
        </is>
      </c>
      <c r="H671" t="inlineStr">
        <is>
          <t>L3</t>
        </is>
      </c>
      <c r="I671" t="inlineStr">
        <is>
          <t>HR — timesheets</t>
        </is>
      </c>
    </row>
    <row r="672">
      <c r="A672" t="inlineStr">
        <is>
          <t>TS-ARCH-1</t>
        </is>
      </c>
      <c r="B672" t="inlineStr">
        <is>
          <t>Archive hours (settled only) — out of the view, restorable, still exported</t>
        </is>
      </c>
      <c r="C672" t="inlineStr">
        <is>
          <t>HR · Timesheet reporting</t>
        </is>
      </c>
      <c r="D672" t="inlineStr">
        <is>
          <t>P2</t>
        </is>
      </c>
      <c r="E672" t="inlineStr">
        <is>
          <t>Done</t>
        </is>
      </c>
      <c r="F672" t="inlineStr">
        <is>
          <t>3131762</t>
        </is>
      </c>
      <c r="G672" t="inlineStr">
        <is>
          <t>Migration 20261002120000</t>
        </is>
      </c>
      <c r="H672" t="inlineStr">
        <is>
          <t>L3</t>
        </is>
      </c>
      <c r="I672" t="inlineStr">
        <is>
          <t>HR — timesheets</t>
        </is>
      </c>
    </row>
    <row r="673">
      <c r="A673" t="inlineStr">
        <is>
          <t>HOURS-FMT-1</t>
        </is>
      </c>
      <c r="B673" t="inlineStr">
        <is>
          <t>Hours as decimals with HH:mm in brackets — screen, export (two columns + TOTAAL from minutes), invoice</t>
        </is>
      </c>
      <c r="C673" t="inlineStr">
        <is>
          <t>HR · Timesheet reporting</t>
        </is>
      </c>
      <c r="D673" t="inlineStr">
        <is>
          <t>P1</t>
        </is>
      </c>
      <c r="E673" t="inlineStr">
        <is>
          <t>Done</t>
        </is>
      </c>
      <c r="F673" t="inlineStr">
        <is>
          <t>18fbec4</t>
        </is>
      </c>
      <c r="G673" t="inlineStr">
        <is>
          <t>One conversion (computeWorkedDuration)</t>
        </is>
      </c>
      <c r="H673" t="inlineStr">
        <is>
          <t>L3</t>
        </is>
      </c>
      <c r="I673" t="inlineStr">
        <is>
          <t>HR — timesheets</t>
        </is>
      </c>
    </row>
    <row r="674">
      <c r="A674" t="inlineStr">
        <is>
          <t>OWNER-EDIT-1</t>
        </is>
      </c>
      <c r="B674" t="inlineStr">
        <is>
          <t>Owner edits approved hours without the unlock; every edit of approved hours needs a written reason</t>
        </is>
      </c>
      <c r="C674" t="inlineStr">
        <is>
          <t>HR · Timesheet reporting</t>
        </is>
      </c>
      <c r="D674" t="inlineStr">
        <is>
          <t>P1</t>
        </is>
      </c>
      <c r="E674" t="inlineStr">
        <is>
          <t>Done</t>
        </is>
      </c>
      <c r="F674" t="inlineStr">
        <is>
          <t>24aa6db</t>
        </is>
      </c>
      <c r="H674" t="inlineStr">
        <is>
          <t>L3</t>
        </is>
      </c>
      <c r="I674" t="inlineStr">
        <is>
          <t>HR — timesheets</t>
        </is>
      </c>
    </row>
    <row r="675">
      <c r="A675" t="inlineStr">
        <is>
          <t>TS-SHIFT-CTX</t>
        </is>
      </c>
      <c r="B675" t="inlineStr">
        <is>
          <t>Timesheet entry shows its shift: planner note, crew note, tasks; "Admin notes"</t>
        </is>
      </c>
      <c r="C675" t="inlineStr">
        <is>
          <t>HR · Timesheet reporting</t>
        </is>
      </c>
      <c r="D675" t="inlineStr">
        <is>
          <t>P2</t>
        </is>
      </c>
      <c r="E675" t="inlineStr">
        <is>
          <t>Done</t>
        </is>
      </c>
      <c r="F675" t="inlineStr">
        <is>
          <t>aa28cea</t>
        </is>
      </c>
      <c r="H675" t="inlineStr">
        <is>
          <t>L3</t>
        </is>
      </c>
      <c r="I675" t="inlineStr">
        <is>
          <t>HR — timesheets</t>
        </is>
      </c>
    </row>
    <row r="676">
      <c r="A676" t="inlineStr">
        <is>
          <t>OCC-MERGE-1</t>
        </is>
      </c>
      <c r="B676" t="inlineStr">
        <is>
          <t>Stale save no longer overwrites another user's field; no false conflicts after a first save</t>
        </is>
      </c>
      <c r="C676" t="inlineStr">
        <is>
          <t>Core</t>
        </is>
      </c>
      <c r="D676" t="inlineStr">
        <is>
          <t>P0</t>
        </is>
      </c>
      <c r="E676" t="inlineStr">
        <is>
          <t>Done</t>
        </is>
      </c>
      <c r="F676" t="inlineStr">
        <is>
          <t>d01dcb5</t>
        </is>
      </c>
      <c r="G676" t="inlineStr">
        <is>
          <t>Found via R2-5; one merge rule (lib/records/occ-merge.ts)</t>
        </is>
      </c>
      <c r="H676" t="inlineStr">
        <is>
          <t>L1</t>
        </is>
      </c>
      <c r="I676" t="inlineStr">
        <is>
          <t>write path — concurrency</t>
        </is>
      </c>
    </row>
    <row r="677">
      <c r="A677" t="inlineStr">
        <is>
          <t>DOC-LOCK-1</t>
        </is>
      </c>
      <c r="B677" t="inlineStr">
        <is>
          <t>Sent / accepted / rejected quote = locked document, enforced in every server write door; "Revise" = -vN draft</t>
        </is>
      </c>
      <c r="C677" t="inlineStr">
        <is>
          <t>Documents</t>
        </is>
      </c>
      <c r="D677" t="inlineStr">
        <is>
          <t>P0</t>
        </is>
      </c>
      <c r="E677" t="inlineStr">
        <is>
          <t>Done</t>
        </is>
      </c>
      <c r="F677" t="inlineStr">
        <is>
          <t>61474cd</t>
        </is>
      </c>
      <c r="G677" t="inlineStr">
        <is>
          <t>Florin 2026-10-03; status never back to draft</t>
        </is>
      </c>
      <c r="H677" t="inlineStr">
        <is>
          <t>MODULE GATE</t>
        </is>
      </c>
      <c r="I677" t="inlineStr">
        <is>
          <t>export lock · accountant export</t>
        </is>
      </c>
    </row>
    <row r="678">
      <c r="A678" t="inlineStr">
        <is>
          <t>WO-LIB-1</t>
        </is>
      </c>
      <c r="B678" t="inlineStr">
        <is>
          <t>Library signal: line remembers its article values; draft = badge + take library values; locked = badge; expired = banner</t>
        </is>
      </c>
      <c r="C678" t="inlineStr">
        <is>
          <t>Quotations</t>
        </is>
      </c>
      <c r="D678" t="inlineStr">
        <is>
          <t>P1</t>
        </is>
      </c>
      <c r="E678" t="inlineStr">
        <is>
          <t>Open</t>
        </is>
      </c>
      <c r="F678" t="inlineStr">
        <is>
          <t>Planner</t>
        </is>
      </c>
      <c r="G678" t="inlineStr">
        <is>
          <t>Next (step 3) Florin 2026-10-03: GO, with VARIANT-1. "CUSTOM PRIJS" (number, under the variants, not localised): a column the tenant added — not in the canonical schema, read by no engine.</t>
        </is>
      </c>
      <c r="H678" t="inlineStr">
        <is>
          <t>L3</t>
        </is>
      </c>
      <c r="I678" t="inlineStr">
        <is>
          <t>Quotations engine</t>
        </is>
      </c>
    </row>
    <row r="679">
      <c r="A679" t="inlineStr">
        <is>
          <t>VARIANT-1</t>
        </is>
      </c>
      <c r="B679" t="inlineStr">
        <is>
          <t>Variant surcharges: frozen on the line, counted in totals (today 0 in saved totals; db-articles fixed-id lookup)</t>
        </is>
      </c>
      <c r="C679" t="inlineStr">
        <is>
          <t>Quotations</t>
        </is>
      </c>
      <c r="D679" t="inlineStr">
        <is>
          <t>P1</t>
        </is>
      </c>
      <c r="E679" t="inlineStr">
        <is>
          <t>Open</t>
        </is>
      </c>
      <c r="F679" t="inlineStr">
        <is>
          <t>Planner 2026-10-03</t>
        </is>
      </c>
      <c r="G679" t="inlineStr">
        <is>
          <t>Found digging the variants logic Florin 2026-10-03: YES, together with WO-LIB-1 (near-zero overhead). Found: variant price is read from a fixed demo database id (db-articles) — verify on a real tenant.</t>
        </is>
      </c>
      <c r="H679" t="inlineStr">
        <is>
          <t>L3</t>
        </is>
      </c>
      <c r="I679" t="inlineStr">
        <is>
          <t>Quotations engine</t>
        </is>
      </c>
    </row>
    <row r="680">
      <c r="A680" t="inlineStr">
        <is>
          <t>ART-DISC-1</t>
        </is>
      </c>
      <c r="B680" t="inlineStr">
        <is>
          <t>One discount meaning (real discount) in articles + quote/invoice lines; article discount reaches the line</t>
        </is>
      </c>
      <c r="C680" t="inlineStr">
        <is>
          <t>Library</t>
        </is>
      </c>
      <c r="D680" t="inlineStr">
        <is>
          <t>P0</t>
        </is>
      </c>
      <c r="E680" t="inlineStr">
        <is>
          <t>Done</t>
        </is>
      </c>
      <c r="F680" t="inlineStr">
        <is>
          <t>7521fb4</t>
        </is>
      </c>
      <c r="G680" t="inlineStr">
        <is>
          <t>Data flipped by Florin (SQL, 3 articles)</t>
        </is>
      </c>
      <c r="H680" t="inlineStr">
        <is>
          <t>L3</t>
        </is>
      </c>
      <c r="I680" t="inlineStr">
        <is>
          <t>Quotations engine</t>
        </is>
      </c>
    </row>
    <row r="681">
      <c r="A681" t="inlineStr">
        <is>
          <t>GRID-NUM-1</t>
        </is>
      </c>
      <c r="B681" t="inlineStr">
        <is>
          <t>Grid number cells stored "[object Object]" — store the number; formulas unwrap legacy; repair SQL run</t>
        </is>
      </c>
      <c r="C681" t="inlineStr">
        <is>
          <t>Records</t>
        </is>
      </c>
      <c r="D681" t="inlineStr">
        <is>
          <t>P0</t>
        </is>
      </c>
      <c r="E681" t="inlineStr">
        <is>
          <t>Done</t>
        </is>
      </c>
      <c r="F681" t="inlineStr">
        <is>
          <t>5a72144</t>
        </is>
      </c>
      <c r="G681" t="inlineStr">
        <is>
          <t>12 fields repaired 2026-10-03</t>
        </is>
      </c>
      <c r="H681" t="inlineStr">
        <is>
          <t>L3</t>
        </is>
      </c>
      <c r="I681" t="inlineStr">
        <is>
          <t>grid / record surface primitives</t>
        </is>
      </c>
    </row>
    <row r="682">
      <c r="A682" t="inlineStr">
        <is>
          <t>KERN-SCHEMA-1</t>
        </is>
      </c>
      <c r="B682" t="inlineStr">
        <is>
          <t>System database columns from the kernel, reconciled server-side per tenant, tier-gated; never rows</t>
        </is>
      </c>
      <c r="C682" t="inlineStr">
        <is>
          <t>Kernel</t>
        </is>
      </c>
      <c r="D682" t="inlineStr">
        <is>
          <t>P1</t>
        </is>
      </c>
      <c r="E682" t="inlineStr">
        <is>
          <t>Done</t>
        </is>
      </c>
      <c r="F682" t="inlineStr">
        <is>
          <t>branch hold/kern-schema-1</t>
        </is>
      </c>
      <c r="G682" t="inlineStr">
        <is>
          <t>Waiting Florin; Murgu had 0 fields on 10 DBs Florin 2026-10-03: GO — but ENT-COL-1 / COL-PERM-1 / BESTEK-COMP-1 may change the plan before release. Released 2026-10-03 (832ef53) with numbered upgrade steps (system-schema-upgrades.ts, U1 = accountantExportedAt checkbox): each step applies only while the field has the old shape — no per-tenant storage, no migration; tenant-changed fields are left alone.</t>
        </is>
      </c>
      <c r="H682" t="inlineStr">
        <is>
          <t>L1</t>
        </is>
      </c>
      <c r="I682" t="inlineStr">
        <is>
          <t>provisioning capability</t>
        </is>
      </c>
    </row>
    <row r="683">
      <c r="A683" t="inlineStr">
        <is>
          <t>ENT-FREE-1</t>
        </is>
      </c>
      <c r="B683" t="inlineStr">
        <is>
          <t>FREE gets no databases at all; PRO an empty library; ENTERPRISE may get it filled — and close the ungated library</t>
        </is>
      </c>
      <c r="C683" t="inlineStr">
        <is>
          <t>Entitlement</t>
        </is>
      </c>
      <c r="D683" t="inlineStr">
        <is>
          <t>P1</t>
        </is>
      </c>
      <c r="E683" t="inlineStr">
        <is>
          <t>Open</t>
        </is>
      </c>
      <c r="F683" t="inlineStr">
        <is>
          <t>Florin 2026-10-03</t>
        </is>
      </c>
      <c r="G683" t="inlineStr">
        <is>
          <t>Provisioning creates 16 for everyone today 2026-10-04: when provisioning stops creating FREE databases, screens must handle an ABSENT database (a lookup returning null; tsc counted 207 sites in 28 files) — that work belongs here, not in R1-2.</t>
        </is>
      </c>
      <c r="H683" t="inlineStr">
        <is>
          <t>MODULE GATE</t>
        </is>
      </c>
      <c r="I683" t="inlineStr">
        <is>
          <t>entitlement — vocabulary &amp; grants (modules → submodules → quota)</t>
        </is>
      </c>
    </row>
    <row r="684">
      <c r="A684" t="inlineStr">
        <is>
          <t>DATE-PICKER-1</t>
        </is>
      </c>
      <c r="B684" t="inlineStr">
        <is>
          <t>Date picker inside a dialog: calendar now opens in the dialog (days were unclickable)</t>
        </is>
      </c>
      <c r="C684" t="inlineStr">
        <is>
          <t>Design system</t>
        </is>
      </c>
      <c r="D684" t="inlineStr">
        <is>
          <t>P0</t>
        </is>
      </c>
      <c r="E684" t="inlineStr">
        <is>
          <t>Done</t>
        </is>
      </c>
      <c r="F684" t="inlineStr">
        <is>
          <t>b5ec10b</t>
        </is>
      </c>
      <c r="G684" t="inlineStr">
        <is>
          <t>Manual hours landed on today</t>
        </is>
      </c>
      <c r="H684" t="inlineStr">
        <is>
          <t>L4</t>
        </is>
      </c>
      <c r="I684" t="inlineStr">
        <is>
          <t>date display</t>
        </is>
      </c>
    </row>
    <row r="685">
      <c r="A685" t="inlineStr">
        <is>
          <t>LOC-SWEEP-1</t>
        </is>
      </c>
      <c r="B685" t="inlineStr">
        <is>
          <t>Belgian dates/times/numbers in 38 ERP sites</t>
        </is>
      </c>
      <c r="C685" t="inlineStr">
        <is>
          <t>Design system</t>
        </is>
      </c>
      <c r="D685" t="inlineStr">
        <is>
          <t>P2</t>
        </is>
      </c>
      <c r="E685" t="inlineStr">
        <is>
          <t>Done</t>
        </is>
      </c>
      <c r="F685" t="inlineStr">
        <is>
          <t>03ec24c (coder)</t>
        </is>
      </c>
      <c r="H685" t="inlineStr">
        <is>
          <t>L4</t>
        </is>
      </c>
      <c r="I685" t="inlineStr">
        <is>
          <t>date display</t>
        </is>
      </c>
    </row>
    <row r="686">
      <c r="A686" t="inlineStr">
        <is>
          <t>FONTS-1</t>
        </is>
      </c>
      <c r="B686" t="inlineStr">
        <is>
          <t>Self-hosted fonts — builds no longer fetch Google Fonts (failed twice); Cyrillic for the crew</t>
        </is>
      </c>
      <c r="C686" t="inlineStr">
        <is>
          <t>Platform</t>
        </is>
      </c>
      <c r="D686" t="inlineStr">
        <is>
          <t>P1</t>
        </is>
      </c>
      <c r="E686" t="inlineStr">
        <is>
          <t>Done</t>
        </is>
      </c>
      <c r="F686" t="inlineStr">
        <is>
          <t>5ae807e</t>
        </is>
      </c>
      <c r="H686" t="inlineStr">
        <is>
          <t>⟂</t>
        </is>
      </c>
      <c r="I686" t="inlineStr">
        <is>
          <t>release</t>
        </is>
      </c>
    </row>
    <row r="687">
      <c r="A687" t="inlineStr">
        <is>
          <t>PLAN-FIRST-1</t>
        </is>
      </c>
      <c r="B687" t="inlineStr">
        <is>
          <t>Coder protocol: plan → review → milestones; §3a throw proof; §3b a fence is a wall</t>
        </is>
      </c>
      <c r="C687" t="inlineStr">
        <is>
          <t>Process</t>
        </is>
      </c>
      <c r="D687" t="inlineStr">
        <is>
          <t>P1</t>
        </is>
      </c>
      <c r="E687" t="inlineStr">
        <is>
          <t>Done</t>
        </is>
      </c>
      <c r="F687" t="inlineStr">
        <is>
          <t>77ebd40, 238d618</t>
        </is>
      </c>
      <c r="H687" t="inlineStr">
        <is>
          <t>⟂</t>
        </is>
      </c>
      <c r="I687" t="inlineStr">
        <is>
          <t>process &amp; housekeeping</t>
        </is>
      </c>
    </row>
    <row r="688">
      <c r="A688" t="inlineStr">
        <is>
          <t>R2-1-CENSUS</t>
        </is>
      </c>
      <c r="B688" t="inlineStr">
        <is>
          <t>Coder: census of the 33 direct GlobalPage writes (tenant check, OCC, audit, fate)</t>
        </is>
      </c>
      <c r="C688" t="inlineStr">
        <is>
          <t>Core</t>
        </is>
      </c>
      <c r="D688" t="inlineStr">
        <is>
          <t>P1</t>
        </is>
      </c>
      <c r="E688" t="inlineStr">
        <is>
          <t>Done</t>
        </is>
      </c>
      <c r="F688" t="inlineStr">
        <is>
          <t>coder</t>
        </is>
      </c>
      <c r="G688" t="inlineStr">
        <is>
          <t>Queued Done 2026-10-04: 36 writes / 19 files; 21 NONE tenant checks, 32 no OCC, 32 no audit. Reviewed: 4 real holes fixed same day (accept actions any-id, Stripe link + re-scan cross-tenant, portal tasks into BV Coral db) — 9bf19a44 · e48834a6 · a2ffa1d5. Report: .agents/reports/R2-1-CENSUS.md.</t>
        </is>
      </c>
      <c r="H688" t="inlineStr">
        <is>
          <t>L1</t>
        </is>
      </c>
      <c r="I688" t="inlineStr">
        <is>
          <t>write path — saveRecord, intents, read model</t>
        </is>
      </c>
    </row>
    <row r="689">
      <c r="A689" t="inlineStr">
        <is>
          <t>CAT-1</t>
        </is>
      </c>
      <c r="B689" t="inlineStr">
        <is>
          <t>Central catalogue (articles + bestek), owned and maintained by the platform. Information flows ERP → tenant, NEVER tenant → ERP: no tenant row, price or edit is ever read back into it.</t>
        </is>
      </c>
      <c r="C689" t="inlineStr">
        <is>
          <t>Library</t>
        </is>
      </c>
      <c r="D689" t="inlineStr">
        <is>
          <t>P1</t>
        </is>
      </c>
      <c r="E689" t="inlineStr">
        <is>
          <t>Open</t>
        </is>
      </c>
      <c r="F689" t="inlineStr">
        <is>
          <t>Florin 2026-10-03</t>
        </is>
      </c>
      <c r="G689" t="inlineStr">
        <is>
          <t>Indispensable: every new tenant library is hydrated from an up-to-date catalogue, not a stale seed.</t>
        </is>
      </c>
      <c r="H689" t="inlineStr">
        <is>
          <t>L1</t>
        </is>
      </c>
      <c r="I689" t="inlineStr">
        <is>
          <t>central catalogue — ERP → tenant only</t>
        </is>
      </c>
    </row>
    <row r="690">
      <c r="A690" t="inlineStr">
        <is>
          <t>CAT-2</t>
        </is>
      </c>
      <c r="B690" t="inlineStr">
        <is>
          <t>Hydrate a tenant library from the catalogue: rows are COPIED into the tenant's own articles / bestek; the tenant owns and edits the copy. Each row remembers its catalogue origin (id + version).</t>
        </is>
      </c>
      <c r="C690" t="inlineStr">
        <is>
          <t>Library</t>
        </is>
      </c>
      <c r="D690" t="inlineStr">
        <is>
          <t>P1</t>
        </is>
      </c>
      <c r="E690" t="inlineStr">
        <is>
          <t>Open</t>
        </is>
      </c>
      <c r="F690" t="inlineStr">
        <is>
          <t>Florin 2026-10-03</t>
        </is>
      </c>
      <c r="G690" t="inlineStr">
        <is>
          <t>PRO starts with an EMPTY library and bestek (columns only, KERN-SCHEMA-1). Hydration happens on purchase (CAT-3); ENTERPRISE may get it included.</t>
        </is>
      </c>
      <c r="H690" t="inlineStr">
        <is>
          <t>L1</t>
        </is>
      </c>
      <c r="I690" t="inlineStr">
        <is>
          <t>central catalogue — ERP → tenant only</t>
        </is>
      </c>
    </row>
    <row r="691">
      <c r="A691" t="inlineStr">
        <is>
          <t>CAT-3</t>
        </is>
      </c>
      <c r="B691" t="inlineStr">
        <is>
          <t>Library pack purchase: fill library + bestek from the catalogue (per trade), Stripe one-off; later an updates subscription.</t>
        </is>
      </c>
      <c r="C691" t="inlineStr">
        <is>
          <t>Library</t>
        </is>
      </c>
      <c r="D691" t="inlineStr">
        <is>
          <t>P1</t>
        </is>
      </c>
      <c r="E691" t="inlineStr">
        <is>
          <t>Open</t>
        </is>
      </c>
      <c r="F691" t="inlineStr">
        <is>
          <t>Florin 2026-10-03</t>
        </is>
      </c>
      <c r="G691" t="inlineStr">
        <is>
          <t>Separate from the tier. Depends on ENT-FREE-1, KERN-SCHEMA-1, CAT-1/2.</t>
        </is>
      </c>
      <c r="H691" t="inlineStr">
        <is>
          <t>L2</t>
        </is>
      </c>
      <c r="I691" t="inlineStr">
        <is>
          <t>Library module</t>
        </is>
      </c>
    </row>
    <row r="692">
      <c r="A692" t="inlineStr">
        <is>
          <t>CAT-NUDGE-1</t>
        </is>
      </c>
      <c r="B692" t="inlineStr">
        <is>
          <t>Discrete, OPT-IN nudges toward the pack: empty-state card in library/bestek; a quiet "a similar item exists in the catalogue" hint in the quote line picker; an onboarding checklist item; a line on the plan/billing page.</t>
        </is>
      </c>
      <c r="C692" t="inlineStr">
        <is>
          <t>Library</t>
        </is>
      </c>
      <c r="D692" t="inlineStr">
        <is>
          <t>P2</t>
        </is>
      </c>
      <c r="E692" t="inlineStr">
        <is>
          <t>Open</t>
        </is>
      </c>
      <c r="F692" t="inlineStr">
        <is>
          <t>Florin 2026-10-03</t>
        </is>
      </c>
      <c r="G692" t="inlineStr">
        <is>
          <t>NEVER opt-out: no pop-ups, no auto-enrolment, no pre-ticked boxes, no trial that converts. Every nudge dismissible for good. Florin 2026-10-03: OK on all four nudges.</t>
        </is>
      </c>
      <c r="H692" t="inlineStr">
        <is>
          <t>L2</t>
        </is>
      </c>
      <c r="I692" t="inlineStr">
        <is>
          <t>Library module</t>
        </is>
      </c>
    </row>
    <row r="693">
      <c r="A693" t="inlineStr">
        <is>
          <t>CAT-4</t>
        </is>
      </c>
      <c r="B693" t="inlineStr">
        <is>
          <t>Price maintenance as a service: we update catalogue prices; tenants with catalogue-origin rows get a notification; applying the update is opt-in (per item or batch, with old → new shown).</t>
        </is>
      </c>
      <c r="C693" t="inlineStr">
        <is>
          <t>Library</t>
        </is>
      </c>
      <c r="D693" t="inlineStr">
        <is>
          <t>P2</t>
        </is>
      </c>
      <c r="E693" t="inlineStr">
        <is>
          <t>Open</t>
        </is>
      </c>
      <c r="F693" t="inlineStr">
        <is>
          <t>Florin 2026-10-03</t>
        </is>
      </c>
      <c r="G693" t="inlineStr">
        <is>
          <t>A tenant row edited by hand or sourced from their own supplier is never overwritten. Uses CAT-2 origin + version.</t>
        </is>
      </c>
      <c r="H693" t="inlineStr">
        <is>
          <t>L1</t>
        </is>
      </c>
      <c r="I693" t="inlineStr">
        <is>
          <t>central catalogue — ERP → tenant only</t>
        </is>
      </c>
    </row>
    <row r="694">
      <c r="A694" t="inlineStr">
        <is>
          <t>SUP-1</t>
        </is>
      </c>
      <c r="B694" t="inlineStr">
        <is>
          <t>Supplier sources for the catalogue and for tenants: Cebeo, Rexel, Facq … — inventory which offer a link / integration.</t>
        </is>
      </c>
      <c r="C694" t="inlineStr">
        <is>
          <t>Library</t>
        </is>
      </c>
      <c r="D694" t="inlineStr">
        <is>
          <t>P2</t>
        </is>
      </c>
      <c r="E694" t="inlineStr">
        <is>
          <t>Open</t>
        </is>
      </c>
      <c r="F694" t="inlineStr">
        <is>
          <t>Florin 2026-10-03</t>
        </is>
      </c>
      <c r="G694" t="inlineStr">
        <is>
          <t>Research item; feeds CAT-1 and SUP-CART-1.</t>
        </is>
      </c>
      <c r="H694" t="inlineStr">
        <is>
          <t>L2</t>
        </is>
      </c>
      <c r="I694" t="inlineStr">
        <is>
          <t>Library module</t>
        </is>
      </c>
    </row>
    <row r="695">
      <c r="A695" t="inlineStr">
        <is>
          <t>SUP-CART-1</t>
        </is>
      </c>
      <c r="B695" t="inlineStr">
        <is>
          <t>Supplier cart import: an in-app webview where the tenant is logged into a supplier shop; read the CURRENT session cart (real-time lines, their prices) and import into a quote / the library. No guessed or unofficial supplier API.</t>
        </is>
      </c>
      <c r="C695" t="inlineStr">
        <is>
          <t>Library</t>
        </is>
      </c>
      <c r="D695" t="inlineStr">
        <is>
          <t>P2</t>
        </is>
      </c>
      <c r="E695" t="inlineStr">
        <is>
          <t>Open</t>
        </is>
      </c>
      <c r="F695" t="inlineStr">
        <is>
          <t>Florin 2026-10-03</t>
        </is>
      </c>
      <c r="G695" t="inlineStr">
        <is>
          <t>Florin 2026-10-03: happens INSIDE CoralOS, in a webview. Constraint: in the browser/PWA an iframe cannot read another site's page and most shops refuse framing — so the webview must be NATIVE: CoralOS in an app shell (Tauri/Electron desktop, Capacitor mobile) that can read the shop page the tenant is signed into. Check each shop's terms. Prices land in the TENANT library only (never the catalogue — CAT-1).</t>
        </is>
      </c>
      <c r="H695" t="inlineStr">
        <is>
          <t>L2</t>
        </is>
      </c>
      <c r="I695" t="inlineStr">
        <is>
          <t>Library module</t>
        </is>
      </c>
    </row>
    <row r="696">
      <c r="A696" t="inlineStr">
        <is>
          <t>BESTEK-COMP-1</t>
        </is>
      </c>
      <c r="B696" t="inlineStr">
        <is>
          <t>Bestek post = full work: holds articles (with a QUANTITY per article) + labour, and calculates its unit price from them; picked in a quote it pulls the whole work from the library.</t>
        </is>
      </c>
      <c r="C696" t="inlineStr">
        <is>
          <t>Library</t>
        </is>
      </c>
      <c r="D696" t="inlineStr">
        <is>
          <t>P1</t>
        </is>
      </c>
      <c r="E696" t="inlineStr">
        <is>
          <t>Open</t>
        </is>
      </c>
      <c r="F696" t="inlineStr">
        <is>
          <t>Florin 2026-10-03</t>
        </is>
      </c>
      <c r="G696" t="inlineStr">
        <is>
          <t>Partly exists: bestek has an "Artikelen" relation and a price formula (articles sale price + labour hours × rate), and the quote expands it into article lines. Gaps: no quantity per article (each counts once), labour rates hard-coded 35/45, and the quote expansion compares to a fixed demo id (db-bestek / db-articles) — verify it fires on a real tenant. Florin 2026-10-03: the articles come in as SUB-ITEMS of the bestek line; the editor keeps its function; in the quote only the bestek is visible — except the DETAILED quote, which shows the entire content.</t>
        </is>
      </c>
      <c r="H696" t="inlineStr">
        <is>
          <t>L3</t>
        </is>
      </c>
      <c r="I696" t="inlineStr">
        <is>
          <t>Quotations engine</t>
        </is>
      </c>
    </row>
    <row r="697">
      <c r="A697" t="inlineStr">
        <is>
          <t>ENT-COL-1</t>
        </is>
      </c>
      <c r="B697" t="inlineStr">
        <is>
          <t>ENTERPRISE custom columns on system databases, with the same flexibility as the system columns (types, formulas, relations) — and kept apart from the kernel-owned columns so the reconcile never touches them.</t>
        </is>
      </c>
      <c r="C697" t="inlineStr">
        <is>
          <t>Library</t>
        </is>
      </c>
      <c r="D697" t="inlineStr">
        <is>
          <t>P2</t>
        </is>
      </c>
      <c r="E697" t="inlineStr">
        <is>
          <t>Open</t>
        </is>
      </c>
      <c r="F697" t="inlineStr">
        <is>
          <t>Florin 2026-10-03</t>
        </is>
      </c>
      <c r="G697" t="inlineStr">
        <is>
          <t>Interacts with KERN-SCHEMA-1 (reconcile must leave tenant columns alone).</t>
        </is>
      </c>
      <c r="H697" t="inlineStr">
        <is>
          <t>MODULE GATE</t>
        </is>
      </c>
      <c r="I697" t="inlineStr">
        <is>
          <t>entitlement — vocabulary &amp; grants (modules → submodules → quota)</t>
        </is>
      </c>
    </row>
    <row r="698">
      <c r="A698" t="inlineStr">
        <is>
          <t>COL-PERM-1</t>
        </is>
      </c>
      <c r="B698" t="inlineStr">
        <is>
          <t>Column-level permissions as a gating layer: per tier (which columns a plan gets) and inside the tenant (which role sees / edits which column of a database).</t>
        </is>
      </c>
      <c r="C698" t="inlineStr">
        <is>
          <t>Platform</t>
        </is>
      </c>
      <c r="D698" t="inlineStr">
        <is>
          <t>P1</t>
        </is>
      </c>
      <c r="E698" t="inlineStr">
        <is>
          <t>Open</t>
        </is>
      </c>
      <c r="F698" t="inlineStr">
        <is>
          <t>Florin 2026-10-03</t>
        </is>
      </c>
      <c r="G698" t="inlineStr">
        <is>
          <t>"We were against this wall recently" (cost/margin columns, admin notes). Same canonical logic as the rest: asked, never asserted; enforced on the server read and write path, not only hidden in the UI. Florin 2026-10-03: run it IN the canonical logic — no deviation (one gate, asked not asserted, server-side). Florin 2026-10-03: CUSTOM columns fall into the same permission scheme as the system columns — a manager can split who sees what (per team member), on custom and core columns alike. System-column permission metadata arrives via a numbered upgrade step; custom-column permissions are tenant data.</t>
        </is>
      </c>
      <c r="H698" t="inlineStr">
        <is>
          <t>MODULE GATE</t>
        </is>
      </c>
      <c r="I698" t="inlineStr">
        <is>
          <t>entitlement — vocabulary &amp; grants (modules → submodules → quota)</t>
        </is>
      </c>
    </row>
    <row r="699">
      <c r="A699" t="inlineStr">
        <is>
          <t>WO-4a-M4</t>
        </is>
      </c>
      <c r="B699" t="inlineStr">
        <is>
          <t>Work order PDF: remove the two global patches (Math.random seeding, PDFKit deflate prototype) — determinism tested on content, not bytes.</t>
        </is>
      </c>
      <c r="C699" t="inlineStr">
        <is>
          <t>WorkHub</t>
        </is>
      </c>
      <c r="D699" t="inlineStr">
        <is>
          <t>P1</t>
        </is>
      </c>
      <c r="E699" t="inlineStr">
        <is>
          <t>Done</t>
        </is>
      </c>
      <c r="F699" t="inlineStr">
        <is>
          <t>Florin 2026-10-03</t>
        </is>
      </c>
      <c r="G699" t="inlineStr">
        <is>
          <t>Required before WO-4b wires the renderer into signing; today the renderer is imported nowhere (inert). Done 2026-10-04 (8bb1db1e): no global patches; the test watches Math.random while renders run (throw proof re-run by the Planner).</t>
        </is>
      </c>
      <c r="H699" t="inlineStr">
        <is>
          <t>L1</t>
        </is>
      </c>
      <c r="I699" t="inlineStr">
        <is>
          <t>document engine (+ archive, attachments)</t>
        </is>
      </c>
    </row>
    <row r="700">
      <c r="A700" t="inlineStr">
        <is>
          <t>DEBUG-ROLE-1</t>
        </is>
      </c>
      <c r="B700" t="inlineStr">
        <is>
          <t>A gated DEBUG role: reaches a tenant fully for debugging, granted per person (not by handing out SUPERADMIN), time-boxed, every action audited.</t>
        </is>
      </c>
      <c r="C700" t="inlineStr">
        <is>
          <t>Platform</t>
        </is>
      </c>
      <c r="D700" t="inlineStr">
        <is>
          <t>P1</t>
        </is>
      </c>
      <c r="E700" t="inlineStr">
        <is>
          <t>Open</t>
        </is>
      </c>
      <c r="F700" t="inlineStr">
        <is>
          <t>Florin 2026-10-04</t>
        </is>
      </c>
      <c r="G700" t="inlineStr">
        <is>
          <t>Alternative to distributing SUPERADMIN. Builds on IMP-1 (grant lifecycle) and IMP-4 (operator log). The bypass lives once in requireModule() (ENT-4).</t>
        </is>
      </c>
      <c r="H700" t="inlineStr">
        <is>
          <t>GATE</t>
        </is>
      </c>
      <c r="I700" t="inlineStr">
        <is>
          <t>actor reach · platform access · operator scopes</t>
        </is>
      </c>
    </row>
    <row r="701">
      <c r="A701" t="inlineStr">
        <is>
          <t>SCHED-SYNC-1</t>
        </is>
      </c>
      <c r="B701" t="inlineStr">
        <is>
          <t>Scheduler: an edited or deleted shift showed its old state until a page refresh (third report).</t>
        </is>
      </c>
      <c r="C701" t="inlineStr">
        <is>
          <t>WorkHub</t>
        </is>
      </c>
      <c r="D701" t="inlineStr">
        <is>
          <t>P1</t>
        </is>
      </c>
      <c r="E701" t="inlineStr">
        <is>
          <t>Done</t>
        </is>
      </c>
      <c r="F701" t="inlineStr">
        <is>
          <t>Florin 2026-10-04</t>
        </is>
      </c>
      <c r="G701" t="inlineStr">
        <is>
          <t>Fixed 2026-10-04 (1adb221b): quiet reload after every change, one at a time, re-run once if a change lands meanwhile. Root cause not found by reading — symptom closed for every path.</t>
        </is>
      </c>
      <c r="H701" t="inlineStr">
        <is>
          <t>L3</t>
        </is>
      </c>
      <c r="I701" t="inlineStr">
        <is>
          <t>HR — scheduling</t>
        </is>
      </c>
    </row>
    <row r="702">
      <c r="A702" t="inlineStr">
        <is>
          <t>DEAD-PAYPLAN-1</t>
        </is>
      </c>
      <c r="B702" t="inlineStr">
        <is>
          <t>Delete updatePaymentPlanAction (lib/services/payment-plan-service.ts): no callers, unauthenticated write by page id if ever wired.</t>
        </is>
      </c>
      <c r="C702" t="inlineStr">
        <is>
          <t>Finance</t>
        </is>
      </c>
      <c r="D702" t="inlineStr">
        <is>
          <t>P2</t>
        </is>
      </c>
      <c r="E702" t="inlineStr">
        <is>
          <t>Open</t>
        </is>
      </c>
      <c r="F702" t="inlineStr">
        <is>
          <t>R2-1-CENSUS #36</t>
        </is>
      </c>
      <c r="G702" t="inlineStr">
        <is>
          <t>Dead code found by the census — delete, do not fix.</t>
        </is>
      </c>
      <c r="H702" t="inlineStr">
        <is>
          <t>L1</t>
        </is>
      </c>
      <c r="I702" t="inlineStr">
        <is>
          <t>write path — saveRecord, intents, read model</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COUNTA(Roadmap!A2:A2000)</f>
        <v/>
      </c>
    </row>
    <row r="3">
      <c r="A3" s="2" t="inlineStr">
        <is>
          <t>Open</t>
        </is>
      </c>
      <c r="B3" s="3">
        <f>COUNTIF(Roadmap!E2:E2000,"Open")</f>
        <v/>
      </c>
    </row>
    <row r="4">
      <c r="A4" s="2" t="inlineStr">
        <is>
          <t>In progress</t>
        </is>
      </c>
      <c r="B4" s="3">
        <f>COUNTIF(Roadmap!E2:E2000,"In progress")</f>
        <v/>
      </c>
    </row>
    <row r="5">
      <c r="A5" s="2" t="inlineStr">
        <is>
          <t>Done</t>
        </is>
      </c>
      <c r="B5" s="3">
        <f>COUNTIF(Roadmap!E2:E2000,"Done")</f>
        <v/>
      </c>
    </row>
    <row r="6">
      <c r="A6" s="2" t="inlineStr"/>
      <c r="B6" s="3" t="inlineStr"/>
    </row>
    <row r="7">
      <c r="A7" s="2" t="inlineStr">
        <is>
          <t>P0 total</t>
        </is>
      </c>
      <c r="B7" s="3">
        <f>COUNTIF(Roadmap!D2:D2000,"P0")</f>
        <v/>
      </c>
    </row>
    <row r="8">
      <c r="A8" s="2" t="inlineStr">
        <is>
          <t>P0 still open</t>
        </is>
      </c>
      <c r="B8" s="3">
        <f>COUNTIFS(Roadmap!D2:D2000,"P0",Roadmap!E2:E2000,"Open")</f>
        <v/>
      </c>
    </row>
    <row r="9">
      <c r="A9" s="2" t="inlineStr">
        <is>
          <t>P1 total</t>
        </is>
      </c>
      <c r="B9" s="3">
        <f>COUNTIF(Roadmap!D2:D2000,"P1")</f>
        <v/>
      </c>
    </row>
    <row r="10">
      <c r="A10" s="2" t="inlineStr">
        <is>
          <t>P1 still open</t>
        </is>
      </c>
      <c r="B10" s="3">
        <f>COUNTIFS(Roadmap!D2:D2000,"P1",Roadmap!E2:E2000,"Open")</f>
        <v/>
      </c>
    </row>
    <row r="11">
      <c r="A11" s="2" t="inlineStr">
        <is>
          <t>P2 total</t>
        </is>
      </c>
      <c r="B11" s="3">
        <f>COUNTIF(Roadmap!D2:D2000,"P2")</f>
        <v/>
      </c>
    </row>
    <row r="12">
      <c r="A12" s="2" t="inlineStr">
        <is>
          <t>P2 still open</t>
        </is>
      </c>
      <c r="B12" s="3">
        <f>COUNTIFS(Roadmap!D2:D2000,"P2",Roadmap!E2:E2000,"Open")</f>
        <v/>
      </c>
    </row>
    <row r="13">
      <c r="A13" s="2" t="inlineStr">
        <is>
          <t>P3 total</t>
        </is>
      </c>
      <c r="B13" s="3">
        <f>COUNTIF(Roadmap!D2:D2000,"P3")</f>
        <v/>
      </c>
    </row>
    <row r="14">
      <c r="A14" s="2" t="inlineStr">
        <is>
          <t>P3 still open</t>
        </is>
      </c>
      <c r="B14" s="3">
        <f>COUNTIFS(Roadmap!D2:D2000,"P3",Roadmap!E2:E2000,"Open")</f>
        <v/>
      </c>
    </row>
    <row r="15">
      <c r="A15" s="2" t="inlineStr">
        <is>
          <t>P4 total</t>
        </is>
      </c>
      <c r="B15" s="3">
        <f>COUNTIF(Roadmap!D2:D2000,"P4")</f>
        <v/>
      </c>
    </row>
    <row r="16">
      <c r="A16" s="2" t="inlineStr">
        <is>
          <t>P4 still open</t>
        </is>
      </c>
      <c r="B16" s="3">
        <f>COUNTIFS(Roadmap!D2:D2000,"P4",Roadmap!E2:E2000,"Open")</f>
        <v/>
      </c>
    </row>
    <row r="17">
      <c r="A17" s="2" t="inlineStr"/>
      <c r="B17" s="3" t="inlineStr"/>
    </row>
    <row r="18">
      <c r="A18" s="2" t="inlineStr">
        <is>
          <t>By module — open</t>
        </is>
      </c>
      <c r="B18" s="3" t="inlineStr"/>
    </row>
    <row r="19">
      <c r="A19" s="2" t="inlineStr">
        <is>
          <t>Automations</t>
        </is>
      </c>
      <c r="B19" s="3">
        <f>COUNTIFS(Roadmap!C2:C2000,"Automations",Roadmap!E2:E2000,"Open")</f>
        <v/>
      </c>
    </row>
    <row r="20">
      <c r="A20" s="2" t="inlineStr">
        <is>
          <t>Calendar</t>
        </is>
      </c>
      <c r="B20" s="3">
        <f>COUNTIFS(Roadmap!C2:C2000,"Calendar",Roadmap!E2:E2000,"Open")</f>
        <v/>
      </c>
    </row>
    <row r="21">
      <c r="A21" s="2" t="inlineStr">
        <is>
          <t>Email attachments</t>
        </is>
      </c>
      <c r="B21" s="3">
        <f>COUNTIFS(Roadmap!C2:C2000,"Email attachments",Roadmap!E2:E2000,"Open")</f>
        <v/>
      </c>
    </row>
    <row r="22">
      <c r="A22" s="2" t="inlineStr">
        <is>
          <t>Engine · Grid</t>
        </is>
      </c>
      <c r="B22" s="3">
        <f>COUNTIFS(Roadmap!C2:C2000,"Engine · Grid",Roadmap!E2:E2000,"Open")</f>
        <v/>
      </c>
    </row>
    <row r="23">
      <c r="A23" s="2" t="inlineStr">
        <is>
          <t>Engine · Relations</t>
        </is>
      </c>
      <c r="B23" s="3">
        <f>COUNTIFS(Roadmap!C2:C2000,"Engine · Relations",Roadmap!E2:E2000,"Open")</f>
        <v/>
      </c>
    </row>
    <row r="24">
      <c r="A24" s="2" t="inlineStr">
        <is>
          <t>Finance · Invoice protest</t>
        </is>
      </c>
      <c r="B24" s="3">
        <f>COUNTIFS(Roadmap!C2:C2000,"Finance · Invoice protest",Roadmap!E2:E2000,"Open")</f>
        <v/>
      </c>
    </row>
    <row r="25">
      <c r="A25" s="2" t="inlineStr">
        <is>
          <t>Finance · Purchase invoices</t>
        </is>
      </c>
      <c r="B25" s="3">
        <f>COUNTIFS(Roadmap!C2:C2000,"Finance · Purchase invoices",Roadmap!E2:E2000,"Open")</f>
        <v/>
      </c>
    </row>
    <row r="26">
      <c r="A26" s="2" t="inlineStr">
        <is>
          <t>Finance · Purchase orders</t>
        </is>
      </c>
      <c r="B26" s="3">
        <f>COUNTIFS(Roadmap!C2:C2000,"Finance · Purchase orders",Roadmap!E2:E2000,"Open")</f>
        <v/>
      </c>
    </row>
    <row r="27">
      <c r="A27" s="2" t="inlineStr">
        <is>
          <t>HR · Timesheet reporting</t>
        </is>
      </c>
      <c r="B27" s="3">
        <f>COUNTIFS(Roadmap!C2:C2000,"HR · Timesheet reporting",Roadmap!E2:E2000,"Open")</f>
        <v/>
      </c>
    </row>
    <row r="28">
      <c r="A28" s="2" t="inlineStr">
        <is>
          <t>HR · Timesheets page</t>
        </is>
      </c>
      <c r="B28" s="3">
        <f>COUNTIFS(Roadmap!C2:C2000,"HR · Timesheets page",Roadmap!E2:E2000,"Open")</f>
        <v/>
      </c>
    </row>
    <row r="29">
      <c r="A29" s="2" t="inlineStr">
        <is>
          <t>Mobile</t>
        </is>
      </c>
      <c r="B29" s="3">
        <f>COUNTIFS(Roadmap!C2:C2000,"Mobile",Roadmap!E2:E2000,"Open")</f>
        <v/>
      </c>
    </row>
    <row r="30">
      <c r="A30" s="2" t="inlineStr">
        <is>
          <t>Mobile / PWA</t>
        </is>
      </c>
      <c r="B30" s="3">
        <f>COUNTIFS(Roadmap!C2:C2000,"Mobile / PWA",Roadmap!E2:E2000,"Open")</f>
        <v/>
      </c>
    </row>
    <row r="31">
      <c r="A31" s="2" t="inlineStr">
        <is>
          <t>Performance · Memory</t>
        </is>
      </c>
      <c r="B31" s="3">
        <f>COUNTIFS(Roadmap!C2:C2000,"Performance · Memory",Roadmap!E2:E2000,"Open")</f>
        <v/>
      </c>
    </row>
    <row r="32">
      <c r="A32" s="2" t="inlineStr">
        <is>
          <t>Pro Hardening</t>
        </is>
      </c>
      <c r="B32" s="3">
        <f>COUNTIFS(Roadmap!C2:C2000,"Pro Hardening",Roadmap!E2:E2000,"Open")</f>
        <v/>
      </c>
    </row>
    <row r="33">
      <c r="A33" s="2" t="inlineStr">
        <is>
          <t>Projects</t>
        </is>
      </c>
      <c r="B33" s="3">
        <f>COUNTIFS(Roadmap!C2:C2000,"Projects",Roadmap!E2:E2000,"Open")</f>
        <v/>
      </c>
    </row>
    <row r="34">
      <c r="A34" s="2" t="inlineStr">
        <is>
          <t>Reliability</t>
        </is>
      </c>
      <c r="B34" s="3">
        <f>COUNTIFS(Roadmap!C2:C2000,"Reliability",Roadmap!E2:E2000,"Open")</f>
        <v/>
      </c>
    </row>
    <row r="35">
      <c r="A35" s="2" t="inlineStr">
        <is>
          <t>Scan · Receipt bulk</t>
        </is>
      </c>
      <c r="B35" s="3">
        <f>COUNTIFS(Roadmap!C2:C2000,"Scan · Receipt bulk",Roadmap!E2:E2000,"Open")</f>
        <v/>
      </c>
    </row>
    <row r="36">
      <c r="A36" s="2" t="inlineStr">
        <is>
          <t>Triage / core</t>
        </is>
      </c>
      <c r="B36" s="3">
        <f>COUNTIFS(Roadmap!C2:C2000,"Triage / core",Roadmap!E2:E2000,"Open")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2026-09-09T05:16:38Z</dcterms:created>
  <dcterms:modified xsi:type="dcterms:W3CDTF">2026-10-04T18:37:03Z</dcterms:modified>
</cp:coreProperties>
</file>