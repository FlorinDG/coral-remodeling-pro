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oadmap" sheetId="1" state="visible" r:id="rId1"/>
    <sheet xmlns:r="http://schemas.openxmlformats.org/officeDocument/2006/relationships" name="Florin - my actions" sheetId="2" state="visible" r:id="rId2"/>
    <sheet xmlns:r="http://schemas.openxmlformats.org/officeDocument/2006/relationships" name="Summary" sheetId="3" state="visible" r:id="rId3"/>
  </sheets>
  <definedNames>
    <definedName name="_xlnm._FilterDatabase" localSheetId="0" hidden="1">'Roadmap'!$A$1:$G$325</definedName>
    <definedName name="_xlnm._FilterDatabase" localSheetId="1" hidden="1">'Florin - my actions'!$A$1:$D$8</definedName>
    <definedName name="_xlnm._FilterDatabase" localSheetId="2" hidden="1">'Summary'!$A$1:$B$36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sz val="10"/>
    </font>
    <font>
      <name val="Arial"/>
      <sz val="10"/>
    </font>
  </fonts>
  <fills count="12">
    <fill>
      <patternFill/>
    </fill>
    <fill>
      <patternFill patternType="gray125"/>
    </fill>
    <fill>
      <patternFill patternType="solid">
        <fgColor rgb="001F3864"/>
      </patternFill>
    </fill>
    <fill>
      <patternFill patternType="solid">
        <fgColor rgb="00FFC7CE"/>
      </patternFill>
    </fill>
    <fill>
      <patternFill patternType="solid">
        <fgColor rgb="00C6EFCE"/>
      </patternFill>
    </fill>
    <fill>
      <patternFill patternType="solid">
        <fgColor rgb="00FFEB9C"/>
      </patternFill>
    </fill>
    <fill>
      <patternFill patternType="solid">
        <fgColor rgb="00FFE0B2"/>
      </patternFill>
    </fill>
    <fill>
      <patternFill patternType="solid">
        <fgColor rgb="00FFF2CC"/>
      </patternFill>
    </fill>
    <fill>
      <patternFill patternType="solid">
        <fgColor rgb="00E2EFDA"/>
      </patternFill>
    </fill>
    <fill>
      <patternFill patternType="solid">
        <fgColor rgb="00DEEAF6"/>
      </patternFill>
    </fill>
    <fill>
      <patternFill patternType="solid">
        <fgColor rgb="00E7E6E6"/>
      </patternFill>
    </fill>
    <fill>
      <patternFill patternType="solid">
        <fgColor rgb="00DDEBF7"/>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21">
    <xf numFmtId="0" fontId="0" fillId="0" borderId="0" pivotButton="0" quotePrefix="0" xfId="0"/>
    <xf numFmtId="0" fontId="1" fillId="2" borderId="0" applyAlignment="1" pivotButton="0" quotePrefix="0" xfId="0">
      <alignment vertical="center"/>
    </xf>
    <xf numFmtId="0" fontId="2" fillId="0" borderId="1" applyAlignment="1" pivotButton="0" quotePrefix="0" xfId="0">
      <alignment vertical="top"/>
    </xf>
    <xf numFmtId="0" fontId="2" fillId="0" borderId="1" applyAlignment="1" pivotButton="0" quotePrefix="0" xfId="0">
      <alignment vertical="top" wrapText="1"/>
    </xf>
    <xf numFmtId="0" fontId="2" fillId="3" borderId="1" applyAlignment="1" pivotButton="0" quotePrefix="0" xfId="0">
      <alignment horizontal="center"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horizontal="center" vertical="top"/>
    </xf>
    <xf numFmtId="0" fontId="2" fillId="7" borderId="1" applyAlignment="1" pivotButton="0" quotePrefix="0" xfId="0">
      <alignment horizontal="center" vertical="top"/>
    </xf>
    <xf numFmtId="0" fontId="2" fillId="8" borderId="1" applyAlignment="1" pivotButton="0" quotePrefix="0" xfId="0">
      <alignment horizontal="center" vertical="top"/>
    </xf>
    <xf numFmtId="0" fontId="2" fillId="9" borderId="1" applyAlignment="1" pivotButton="0" quotePrefix="0" xfId="0">
      <alignment horizontal="center" vertical="top"/>
    </xf>
    <xf numFmtId="0" fontId="2" fillId="0" borderId="1" pivotButton="0" quotePrefix="0" xfId="0"/>
    <xf numFmtId="0" fontId="2" fillId="3" borderId="1" pivotButton="0" quotePrefix="0" xfId="0"/>
    <xf numFmtId="0" fontId="2" fillId="6" borderId="1" pivotButton="0" quotePrefix="0" xfId="0"/>
    <xf numFmtId="0" fontId="2" fillId="7" borderId="1" pivotButton="0" quotePrefix="0" xfId="0"/>
    <xf numFmtId="0" fontId="2" fillId="10" borderId="1" pivotButton="0" quotePrefix="0" xfId="0"/>
    <xf numFmtId="0" fontId="2" fillId="4" borderId="1" pivotButton="0" quotePrefix="0" xfId="0"/>
    <xf numFmtId="0" fontId="2" fillId="8" borderId="1" pivotButton="0" quotePrefix="0" xfId="0"/>
    <xf numFmtId="0" fontId="2" fillId="10" borderId="1" applyAlignment="1" pivotButton="0" quotePrefix="0" xfId="0">
      <alignment vertical="top"/>
    </xf>
    <xf numFmtId="0" fontId="2" fillId="11" borderId="1" applyAlignment="1" pivotButton="0" quotePrefix="0" xfId="0">
      <alignment vertical="top"/>
    </xf>
    <xf numFmtId="0" fontId="2"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5"/>
  <sheetViews>
    <sheetView workbookViewId="0">
      <pane ySplit="1" topLeftCell="A2" activePane="bottomLeft" state="frozen"/>
      <selection pane="bottomLeft" activeCell="A1" sqref="A1"/>
    </sheetView>
  </sheetViews>
  <sheetFormatPr baseColWidth="8" defaultRowHeight="15"/>
  <cols>
    <col width="34" customWidth="1" min="1" max="1"/>
    <col width="78" customWidth="1" min="2" max="2"/>
    <col width="26" customWidth="1" min="3" max="3"/>
    <col width="10" customWidth="1" min="4" max="4"/>
    <col width="13" customWidth="1" min="5" max="5"/>
    <col width="38" customWidth="1" min="6" max="6"/>
    <col width="26" customWidth="1" min="7" max="7"/>
  </cols>
  <sheetData>
    <row r="1" ht="22" customHeight="1">
      <c r="A1" s="1" t="inlineStr">
        <is>
          <t>ID</t>
        </is>
      </c>
      <c r="B1" s="1" t="inlineStr">
        <is>
          <t>Task</t>
        </is>
      </c>
      <c r="C1" s="1" t="inlineStr">
        <is>
          <t>Module</t>
        </is>
      </c>
      <c r="D1" s="1" t="inlineStr">
        <is>
          <t>Priority</t>
        </is>
      </c>
      <c r="E1" s="1" t="inlineStr">
        <is>
          <t>Status</t>
        </is>
      </c>
      <c r="F1" s="1" t="inlineStr">
        <is>
          <t>Source</t>
        </is>
      </c>
      <c r="G1" s="1" t="inlineStr">
        <is>
          <t>Notes</t>
        </is>
      </c>
    </row>
    <row r="2">
      <c r="A2" s="2" t="inlineStr">
        <is>
          <t>CAL-0</t>
        </is>
      </c>
      <c r="B2" s="3" t="inlineStr">
        <is>
          <t>the two shipped defects, before any new feature: add tenantId (+ date range) to GET /api/calendar/events; partition calendar-storage-v1 by tenant and reset on logout/switch/impersonation. Verify: tenant A's events never appear for B; switching tenants clears selections and cached events.</t>
        </is>
      </c>
      <c r="C2" s="2" t="inlineStr">
        <is>
          <t>Calendar</t>
        </is>
      </c>
      <c r="D2" s="4" t="inlineStr">
        <is>
          <t>P0</t>
        </is>
      </c>
      <c r="E2" s="2" t="inlineStr">
        <is>
          <t>Open</t>
        </is>
      </c>
      <c r="F2" s="2" t="inlineStr">
        <is>
          <t>coral-calendar.md:64</t>
        </is>
      </c>
      <c r="G2" s="2" t="inlineStr"/>
    </row>
    <row r="3">
      <c r="A3" s="2" t="inlineStr">
        <is>
          <t>CAL-1</t>
        </is>
      </c>
      <c r="B3" s="3" t="inlineStr">
        <is>
          <t>the blocker. Mirror api/email/connect/google/route.ts: a dedicated OAuth consent route requesting auth/calendar scope (incremental auth, access_type=offline, prompt=consent for a refresh token), a callback storing tokens bound to (userId, tenantId), and a Connect Google Calendar button + connecte...</t>
        </is>
      </c>
      <c r="C3" s="2" t="inlineStr">
        <is>
          <t>Calendar</t>
        </is>
      </c>
      <c r="D3" s="4" t="inlineStr">
        <is>
          <t>P0</t>
        </is>
      </c>
      <c r="E3" s="2" t="inlineStr">
        <is>
          <t>Open</t>
        </is>
      </c>
      <c r="F3" s="2" t="inlineStr">
        <is>
          <t>coral-calendar.md:65</t>
        </is>
      </c>
      <c r="G3" s="2" t="inlineStr"/>
    </row>
    <row r="4">
      <c r="A4" s="2" t="inlineStr">
        <is>
          <t>ATT-1</t>
        </is>
      </c>
      <c r="B4" s="3" t="inlineStr">
        <is>
          <t>add to StorageProvider / BlobStorageProvider:</t>
        </is>
      </c>
      <c r="C4" s="2" t="inlineStr">
        <is>
          <t>Email attachments</t>
        </is>
      </c>
      <c r="D4" s="4" t="inlineStr">
        <is>
          <t>P0</t>
        </is>
      </c>
      <c r="E4" s="5" t="inlineStr">
        <is>
          <t>Done</t>
        </is>
      </c>
      <c r="F4" s="2" t="inlineStr">
        <is>
          <t>coral-email-attachments-bug.md:39</t>
        </is>
      </c>
      <c r="G4" s="2" t="inlineStr"/>
    </row>
    <row r="5">
      <c r="A5" s="2" t="inlineStr">
        <is>
          <t>ATT-2</t>
        </is>
      </c>
      <c r="B5" s="3" t="inlineStr">
        <is>
          <t>send-invoice.ts and send-quote.ts. Keep the t_${tenantId}/ tenant check (it's correct and necessary).</t>
        </is>
      </c>
      <c r="C5" s="2" t="inlineStr">
        <is>
          <t>Email attachments</t>
        </is>
      </c>
      <c r="D5" s="4" t="inlineStr">
        <is>
          <t>P0</t>
        </is>
      </c>
      <c r="E5" s="5" t="inlineStr">
        <is>
          <t>Done</t>
        </is>
      </c>
      <c r="F5" s="2" t="inlineStr">
        <is>
          <t>coral-email-attachments-bug.md:52</t>
        </is>
      </c>
      <c r="G5" s="2" t="inlineStr"/>
    </row>
    <row r="6">
      <c r="A6" s="2" t="inlineStr">
        <is>
          <t>ATT-3</t>
        </is>
      </c>
      <c r="B6" s="3" t="inlineStr">
        <is>
          <t>if any selected attachment cannot be fetched:</t>
        </is>
      </c>
      <c r="C6" s="2" t="inlineStr">
        <is>
          <t>Email attachments</t>
        </is>
      </c>
      <c r="D6" s="4" t="inlineStr">
        <is>
          <t>P0</t>
        </is>
      </c>
      <c r="E6" s="5" t="inlineStr">
        <is>
          <t>Done</t>
        </is>
      </c>
      <c r="F6" s="2" t="inlineStr">
        <is>
          <t>coral-email-attachments-bug.md:54</t>
        </is>
      </c>
      <c r="G6" s="2" t="inlineStr"/>
    </row>
    <row r="7">
      <c r="A7" s="2" t="inlineStr">
        <is>
          <t>N1-GRID-CELL-RACE</t>
        </is>
      </c>
      <c r="B7" s="3" t="inlineStr">
        <is>
          <t>Sales grid: typing a name then clicking the date cell loses the typed text — whole-row read-modify-write race between cell editors</t>
        </is>
      </c>
      <c r="C7" s="2" t="inlineStr">
        <is>
          <t>Engine · Grid</t>
        </is>
      </c>
      <c r="D7" s="4" t="inlineStr">
        <is>
          <t>P0</t>
        </is>
      </c>
      <c r="E7" s="2" t="inlineStr">
        <is>
          <t>Open</t>
        </is>
      </c>
      <c r="F7" s="2" t="inlineStr">
        <is>
          <t>no spec yet</t>
        </is>
      </c>
      <c r="G7" s="2" t="inlineStr">
        <is>
          <t>Needs spec</t>
        </is>
      </c>
    </row>
    <row r="8">
      <c r="A8" s="2" t="inlineStr">
        <is>
          <t>PROT-5</t>
        </is>
      </c>
      <c r="B8" s="3" t="inlineStr">
        <is>
          <t>open the existing send modal prefilled (to = supplier email, subject, body, attachment). Do not build a second mail composer. Recipient resolution: supplier's invoice/contact email; if missing, open with an empty To and flag it. CC Florin (the sending tenant owner) by default — his own copy is an...</t>
        </is>
      </c>
      <c r="C8" s="2" t="inlineStr">
        <is>
          <t>Finance · Invoice protest</t>
        </is>
      </c>
      <c r="D8" s="4" t="inlineStr">
        <is>
          <t>P0</t>
        </is>
      </c>
      <c r="E8" s="2" t="inlineStr">
        <is>
          <t>Open</t>
        </is>
      </c>
      <c r="F8" s="2" t="inlineStr">
        <is>
          <t>coral-invoice-protest.md:30</t>
        </is>
      </c>
      <c r="G8" s="2" t="inlineStr"/>
    </row>
    <row r="9">
      <c r="A9" s="2" t="inlineStr">
        <is>
          <t>PI-LINES-1</t>
        </is>
      </c>
      <c r="B9" s="3" t="inlineStr">
        <is>
          <t>create getInvoiceLines(page) and use it in every surface (engine view, engine edit, PageModal, PDF template, totals calculation). Resolution order: blocks[financial-row] → properties.invoiceLines (parse the JSON string, tolerate already-parsed arrays) → peppolDetail.lines → []. No component parse...</t>
        </is>
      </c>
      <c r="C9" s="2" t="inlineStr">
        <is>
          <t>Finance · Purchase invoices</t>
        </is>
      </c>
      <c r="D9" s="4" t="inlineStr">
        <is>
          <t>P0</t>
        </is>
      </c>
      <c r="E9" s="2" t="inlineStr">
        <is>
          <t>Open</t>
        </is>
      </c>
      <c r="F9" s="2" t="inlineStr">
        <is>
          <t>coral-purchase-invoice-lines.md:19</t>
        </is>
      </c>
      <c r="G9" s="2" t="inlineStr"/>
    </row>
    <row r="10">
      <c r="A10" s="2" t="inlineStr">
        <is>
          <t>PI-LINES-2</t>
        </is>
      </c>
      <c r="B10" s="3" t="inlineStr">
        <is>
          <t>at import (Peppol inbox + scan), write the lines as financial-row blocks in addition to keeping invoiceLines for provenance. New invoices then render immediately with no edit-and-save ritual. Keep invoiceLines as the raw as-received record — useful for audit and for re-deriving if a mapping bug i...</t>
        </is>
      </c>
      <c r="C10" s="2" t="inlineStr">
        <is>
          <t>Finance · Purchase invoices</t>
        </is>
      </c>
      <c r="D10" s="4" t="inlineStr">
        <is>
          <t>P0</t>
        </is>
      </c>
      <c r="E10" s="2" t="inlineStr">
        <is>
          <t>Open</t>
        </is>
      </c>
      <c r="F10" s="2" t="inlineStr">
        <is>
          <t>coral-purchase-invoice-lines.md:20</t>
        </is>
      </c>
      <c r="G10" s="2" t="inlineStr"/>
    </row>
    <row r="11">
      <c r="A11" s="2" t="inlineStr">
        <is>
          <t>TS-1</t>
        </is>
      </c>
      <c r="B11" s="3" t="inlineStr">
        <is>
          <t>one tenant-scoped aggregation endpoint powering every view/export. Filters: period (from/to, presets: this week / last week / month / custom), worker(s), project(s), team, approval status, entry source (clocked / manual / adjusted). Returns per-entry rows and rollups: hours per worker, per projec...</t>
        </is>
      </c>
      <c r="C11" s="2" t="inlineStr">
        <is>
          <t>HR · Timesheet reporting</t>
        </is>
      </c>
      <c r="D11" s="4" t="inlineStr">
        <is>
          <t>P0</t>
        </is>
      </c>
      <c r="E11" s="6" t="inlineStr">
        <is>
          <t>In progress</t>
        </is>
      </c>
      <c r="F11" s="2" t="inlineStr">
        <is>
          <t>coral-timesheet-reporting.md:30</t>
        </is>
      </c>
      <c r="G11" s="2" t="inlineStr"/>
    </row>
    <row r="12">
      <c r="A12" s="2" t="inlineStr">
        <is>
          <t>TS-2b</t>
        </is>
      </c>
      <c r="B12" s="3" t="inlineStr">
        <is>
          <t>approval actions exist but are write-only: there is no surface showing what is pending, what was approved/denied, by whom, or when. That makes the approval step unverifiable — and unverifiable approvals are worthless for payroll or a dispute. Implement all of the below as filter/grouping states o...</t>
        </is>
      </c>
      <c r="C12" s="2" t="inlineStr">
        <is>
          <t>HR · Timesheet reporting</t>
        </is>
      </c>
      <c r="D12" s="4" t="inlineStr">
        <is>
          <t>P0</t>
        </is>
      </c>
      <c r="E12" s="2" t="inlineStr">
        <is>
          <t>Open</t>
        </is>
      </c>
      <c r="F12" s="2" t="inlineStr">
        <is>
          <t>coral-timesheet-reporting.md:48</t>
        </is>
      </c>
      <c r="G12" s="2" t="inlineStr"/>
    </row>
    <row r="13">
      <c r="A13" s="2" t="inlineStr">
        <is>
          <t>TS-3</t>
        </is>
      </c>
      <c r="B13" s="3" t="inlineStr">
        <is>
          <t>make the project attribution reliable:</t>
        </is>
      </c>
      <c r="C13" s="2" t="inlineStr">
        <is>
          <t>HR · Timesheet reporting</t>
        </is>
      </c>
      <c r="D13" s="4" t="inlineStr">
        <is>
          <t>P0</t>
        </is>
      </c>
      <c r="E13" s="2" t="inlineStr">
        <is>
          <t>Open</t>
        </is>
      </c>
      <c r="F13" s="2" t="inlineStr">
        <is>
          <t>coral-timesheet-reporting.md:54</t>
        </is>
      </c>
      <c r="G13" s="2" t="inlineStr"/>
    </row>
    <row r="14">
      <c r="A14" s="2" t="inlineStr">
        <is>
          <t>TS-8</t>
        </is>
      </c>
      <c r="B14" s="3" t="inlineStr">
        <is>
          <t>(Florin decision, 2026-07-26)</t>
        </is>
      </c>
      <c r="C14" s="2" t="inlineStr">
        <is>
          <t>HR · Timesheet reporting</t>
        </is>
      </c>
      <c r="D14" s="4" t="inlineStr">
        <is>
          <t>P0</t>
        </is>
      </c>
      <c r="E14" s="2" t="inlineStr">
        <is>
          <t>Open</t>
        </is>
      </c>
      <c r="F14" s="2" t="inlineStr">
        <is>
          <t>coral-timesheet-reporting.md:69</t>
        </is>
      </c>
      <c r="G14" s="2" t="inlineStr"/>
    </row>
    <row r="15">
      <c r="A15" s="2" t="inlineStr">
        <is>
          <t>TSP-1</t>
        </is>
      </c>
      <c r="B15" s="3" t="inlineStr">
        <is>
          <t>replace hrList('clock-entries') with GET /api/hr/timesheet-reports, passing the filter state as query params. Keep the existing approve/deny path (hrUpdate). Default period = this week — never fetch all history by default (today it does). Render summary into StatCards and entries into the existin...</t>
        </is>
      </c>
      <c r="C15" s="2" t="inlineStr">
        <is>
          <t>HR · Timesheets page</t>
        </is>
      </c>
      <c r="D15" s="4" t="inlineStr">
        <is>
          <t>P0</t>
        </is>
      </c>
      <c r="E15" s="6" t="inlineStr">
        <is>
          <t>In progress</t>
        </is>
      </c>
      <c r="F15" s="2" t="inlineStr">
        <is>
          <t>coral-timesheets-page.md:64</t>
        </is>
      </c>
      <c r="G15" s="2" t="inlineStr"/>
    </row>
    <row r="16">
      <c r="A16" s="2" t="inlineStr">
        <is>
          <t>TSP-5</t>
        </is>
      </c>
      <c r="B16" s="3" t="inlineStr">
        <is>
          <t>inline approve/deny + multi-select bulk with confirmation; reason-for-approval flags visible per row (late · manual · off-geofence · missing clock-out) — a queue without why is just a list; approver + timestamp columns in the approved/denied views; approvals reversible with a trail. Approved and ...</t>
        </is>
      </c>
      <c r="C16" s="2" t="inlineStr">
        <is>
          <t>HR · Timesheets page</t>
        </is>
      </c>
      <c r="D16" s="4" t="inlineStr">
        <is>
          <t>P0</t>
        </is>
      </c>
      <c r="E16" s="2" t="inlineStr">
        <is>
          <t>Open</t>
        </is>
      </c>
      <c r="F16" s="2" t="inlineStr">
        <is>
          <t>coral-timesheets-page.md:68</t>
        </is>
      </c>
      <c r="G16" s="2" t="inlineStr"/>
    </row>
    <row r="17">
      <c r="A17" s="2" t="inlineStr">
        <is>
          <t>TSP-B1</t>
        </is>
      </c>
      <c r="B17" s="3" t="inlineStr">
        <is>
          <t>(this is why the table looks empty / shows only a few rows). timesheet-reports/route.ts:36,60 applies where.userId = { in: getAccessibleUserIds(...) } unconditionally, and getAccessibleUserIds returns only the caller's own id unless they lead an HrTeam. So a TENANT_OWNER is scoped like a workforc...</t>
        </is>
      </c>
      <c r="C17" s="2" t="inlineStr">
        <is>
          <t>HR · Timesheets page</t>
        </is>
      </c>
      <c r="D17" s="4" t="inlineStr">
        <is>
          <t>P0</t>
        </is>
      </c>
      <c r="E17" s="5" t="inlineStr">
        <is>
          <t>Done</t>
        </is>
      </c>
      <c r="F17" s="2" t="inlineStr">
        <is>
          <t>coral-timesheets-page.md:57</t>
        </is>
      </c>
      <c r="G17" s="2" t="inlineStr"/>
    </row>
    <row r="18">
      <c r="A18" s="2" t="inlineStr">
        <is>
          <t>TSP-B2</t>
        </is>
      </c>
      <c r="B18" s="3" t="inlineStr">
        <is>
          <t>the page calls useTranslations('Hr.timesheets') (page.tsx:40) but the Hr.timesheets. keys don't exist in messages/{en,nl,fr}.json, so next-intl renders the key paths (Hr.timesheets.title, HR.TIMESHEETS.TOTALHOURS). Same class as TASKS-I18N-NAMES. Add the full block in all three languages using th...</t>
        </is>
      </c>
      <c r="C18" s="2" t="inlineStr">
        <is>
          <t>HR · Timesheets page</t>
        </is>
      </c>
      <c r="D18" s="4" t="inlineStr">
        <is>
          <t>P0</t>
        </is>
      </c>
      <c r="E18" s="5" t="inlineStr">
        <is>
          <t>Done</t>
        </is>
      </c>
      <c r="F18" s="2" t="inlineStr">
        <is>
          <t>coral-timesheets-page.md:58</t>
        </is>
      </c>
      <c r="G18" s="2" t="inlineStr"/>
    </row>
    <row r="19">
      <c r="A19" s="2" t="inlineStr">
        <is>
          <t>MEM-1</t>
        </is>
      </c>
      <c r="B19" s="3" t="inlineStr">
        <is>
          <t>(cheapest real win — do this first)</t>
        </is>
      </c>
      <c r="C19" s="2" t="inlineStr">
        <is>
          <t>Performance · Memory</t>
        </is>
      </c>
      <c r="D19" s="4" t="inlineStr">
        <is>
          <t>P0</t>
        </is>
      </c>
      <c r="E19" s="5" t="inlineStr">
        <is>
          <t>Done</t>
        </is>
      </c>
      <c r="F19" s="2" t="inlineStr">
        <is>
          <t>coral-memory-investigation.md:37</t>
        </is>
      </c>
      <c r="G19" s="2" t="inlineStr"/>
    </row>
    <row r="20">
      <c r="A20" s="2" t="inlineStr">
        <is>
          <t>MEM-3a</t>
        </is>
      </c>
      <c r="B20" s="3" t="inlineStr">
        <is>
          <t>ADD THE INDEX — getGlobalPageIndex() + pageIndex store slice; purely additive, do first</t>
        </is>
      </c>
      <c r="C20" s="2" t="inlineStr">
        <is>
          <t>Performance · Memory</t>
        </is>
      </c>
      <c r="D20" s="4" t="inlineStr">
        <is>
          <t>P0</t>
        </is>
      </c>
      <c r="E20" s="2" t="inlineStr">
        <is>
          <t>Open</t>
        </is>
      </c>
      <c r="F20" s="2" t="inlineStr">
        <is>
          <t>coral-mem3-lazy-data.md</t>
        </is>
      </c>
      <c r="G20" s="2" t="inlineStr"/>
    </row>
    <row r="21">
      <c r="A21" s="2" t="inlineStr">
        <is>
          <t>PROJ-1</t>
        </is>
      </c>
      <c r="B21" s="3" t="inlineStr">
        <is>
          <t>verify the crash is gone (ADMIN-QUERYCLIENT-PROVIDER) and finish its tenant guarding (scoped query keys + clear-on-switch). Nothing else matters until the detail opens reliably.</t>
        </is>
      </c>
      <c r="C21" s="2" t="inlineStr">
        <is>
          <t>Projects</t>
        </is>
      </c>
      <c r="D21" s="4" t="inlineStr">
        <is>
          <t>P0</t>
        </is>
      </c>
      <c r="E21" s="6" t="inlineStr">
        <is>
          <t>In progress</t>
        </is>
      </c>
      <c r="F21" s="2" t="inlineStr">
        <is>
          <t>coral-project-module.md:29</t>
        </is>
      </c>
      <c r="G21" s="2" t="inlineStr"/>
    </row>
    <row r="22">
      <c r="A22" s="2" t="inlineStr">
        <is>
          <t>N3-IDLE-CRASH</t>
        </is>
      </c>
      <c r="B22" s="3" t="inlineStr">
        <is>
          <t>App idle for a long time crashes: TypeError: Load failed (Safari fetch). Leading hypothesis: Neon autosuspend</t>
        </is>
      </c>
      <c r="C22" s="2" t="inlineStr">
        <is>
          <t>Reliability</t>
        </is>
      </c>
      <c r="D22" s="4" t="inlineStr">
        <is>
          <t>P0</t>
        </is>
      </c>
      <c r="E22" s="2" t="inlineStr">
        <is>
          <t>Open</t>
        </is>
      </c>
      <c r="F22" s="2" t="inlineStr">
        <is>
          <t>coral-memory-investigation.md</t>
        </is>
      </c>
      <c r="G22" s="2" t="inlineStr">
        <is>
          <t>Evidence-first</t>
        </is>
      </c>
    </row>
    <row r="23">
      <c r="A23" s="2" t="inlineStr">
        <is>
          <t>RCPT-L4b-1</t>
        </is>
      </c>
      <c r="B23" s="3" t="inlineStr">
        <is>
          <t>add onComplete(summary) to the modal; the parent refreshes the store and switches to the Inbox / Te verwerken view. Summary shape: { total, ready, needsReview, failed }.</t>
        </is>
      </c>
      <c r="C23" s="2" t="inlineStr">
        <is>
          <t>Scan · Receipt bulk</t>
        </is>
      </c>
      <c r="D23" s="4" t="inlineStr">
        <is>
          <t>P0</t>
        </is>
      </c>
      <c r="E23" s="5" t="inlineStr">
        <is>
          <t>Done</t>
        </is>
      </c>
      <c r="F23" s="2" t="inlineStr">
        <is>
          <t>coral-receipt-bulk.md:77</t>
        </is>
      </c>
      <c r="G23" s="2" t="inlineStr"/>
    </row>
    <row r="24">
      <c r="A24" s="2" t="inlineStr">
        <is>
          <t>RCPT-L4b-2</t>
        </is>
      </c>
      <c r="B24" s="3" t="inlineStr">
        <is>
          <t>after each job, insert/refresh the created page in the store so the grid updates as documents complete, not on reload. (Server-first create + no client sync is the same gap that made column visibility "not stick" — see pd.md FORCING FUNCTIONS #1.)</t>
        </is>
      </c>
      <c r="C24" s="2" t="inlineStr">
        <is>
          <t>Scan · Receipt bulk</t>
        </is>
      </c>
      <c r="D24" s="4" t="inlineStr">
        <is>
          <t>P0</t>
        </is>
      </c>
      <c r="E24" s="5" t="inlineStr">
        <is>
          <t>Done</t>
        </is>
      </c>
      <c r="F24" s="2" t="inlineStr">
        <is>
          <t>coral-receipt-bulk.md:78</t>
        </is>
      </c>
      <c r="G24" s="2" t="inlineStr"/>
    </row>
    <row r="25">
      <c r="A25" s="2" t="inlineStr">
        <is>
          <t>A1</t>
        </is>
      </c>
      <c r="B25" s="3" t="inlineStr">
        <is>
          <t>implement the MISSING submitLateEntry server action in src/app/actions/timesheets.ts (Planner-traced: it doesn't exist → TypeError: s is not a function → "Failed to submit late entry"). Create a PENDING ClockEntry from the input LateEntryCard already sends (targetUserId, clockIn/OutTime, location...</t>
        </is>
      </c>
      <c r="C25" s="2" t="inlineStr">
        <is>
          <t>Triage / core</t>
        </is>
      </c>
      <c r="D25" s="4" t="inlineStr">
        <is>
          <t>P0</t>
        </is>
      </c>
      <c r="E25" s="5" t="inlineStr">
        <is>
          <t>Done</t>
        </is>
      </c>
      <c r="F25" s="2" t="inlineStr">
        <is>
          <t>ground-zero-triage.md:716</t>
        </is>
      </c>
      <c r="G25" s="2" t="inlineStr"/>
    </row>
    <row r="26">
      <c r="A26" s="2" t="inlineStr">
        <is>
          <t>ADMIN-QUERYCLIENT-PROVIDER</t>
        </is>
      </c>
      <c r="B26" s="3" t="inlineStr">
        <is>
          <t>ROOT CAUSE (Planner-traced from the live console): useClockEntries (now React Query) + useScheduledShifts are imported by src/components/admin/database/components/ProjectDetailView.tsx (L12-13, added by workforce-scoping commit 9c0b5ff). The admin app (AdminLayout) has NO QueryClientProvider — on...</t>
        </is>
      </c>
      <c r="C26" s="2" t="inlineStr">
        <is>
          <t>Triage / core</t>
        </is>
      </c>
      <c r="D26" s="4" t="inlineStr">
        <is>
          <t>P0</t>
        </is>
      </c>
      <c r="E26" s="5" t="inlineStr">
        <is>
          <t>Done</t>
        </is>
      </c>
      <c r="F26" s="2" t="inlineStr">
        <is>
          <t>ground-zero-triage.md:663</t>
        </is>
      </c>
      <c r="G26" s="2" t="inlineStr"/>
    </row>
    <row r="27">
      <c r="A27" s="2" t="inlineStr">
        <is>
          <t>DATA-PERSIST-INTEGRITY</t>
        </is>
      </c>
      <c r="B27" s="3" t="inlineStr">
        <is>
          <t>make edits durable and un-clobberable. This is the #1 data-safety fix now that Coral holds real work.</t>
        </is>
      </c>
      <c r="C27" s="2" t="inlineStr">
        <is>
          <t>Triage / core</t>
        </is>
      </c>
      <c r="D27" s="4" t="inlineStr">
        <is>
          <t>P0</t>
        </is>
      </c>
      <c r="E27" s="2" t="inlineStr">
        <is>
          <t>Open</t>
        </is>
      </c>
      <c r="F27" s="2" t="inlineStr">
        <is>
          <t>ground-zero-triage.md:645</t>
        </is>
      </c>
      <c r="G27" s="2" t="inlineStr"/>
    </row>
    <row r="28">
      <c r="A28" s="2" t="inlineStr">
        <is>
          <t>HR-NAV-ROUTES-TO-WORKHUB</t>
        </is>
      </c>
      <c r="B28" s="3" t="inlineStr">
        <is>
          <t>STILL BROKEN (Florin re-confirmed 2026-07-12: "click HR still routes to timetracker") — NOT YET APPLIED. The sidebar-order/persistence work (commit 5202fca) landed but this href change was skipped. useSidebarStore.ts:67 still reads href: '/admin/hr/time-tracker' → that route is redirect('/workhub...</t>
        </is>
      </c>
      <c r="C28" s="2" t="inlineStr">
        <is>
          <t>Triage / core</t>
        </is>
      </c>
      <c r="D28" s="4" t="inlineStr">
        <is>
          <t>P0</t>
        </is>
      </c>
      <c r="E28" s="5" t="inlineStr">
        <is>
          <t>Done</t>
        </is>
      </c>
      <c r="F28" s="2" t="inlineStr">
        <is>
          <t>ground-zero-triage.md:412</t>
        </is>
      </c>
      <c r="G28" s="2" t="inlineStr"/>
    </row>
    <row r="29">
      <c r="A29" s="2" t="inlineStr">
        <is>
          <t>OCC-1-REBASELINE</t>
        </is>
      </c>
      <c r="B29" s="3" t="inlineStr">
        <is>
          <t>one-line fix, do this first, it alone stops the permanent-conflict loop.</t>
        </is>
      </c>
      <c r="C29" s="2" t="inlineStr">
        <is>
          <t>Triage / core</t>
        </is>
      </c>
      <c r="D29" s="4" t="inlineStr">
        <is>
          <t>P0</t>
        </is>
      </c>
      <c r="E29" s="5" t="inlineStr">
        <is>
          <t>Done</t>
        </is>
      </c>
      <c r="F29" s="2" t="inlineStr">
        <is>
          <t>ground-zero-triage.md:83</t>
        </is>
      </c>
      <c r="G29" s="2" t="inlineStr"/>
    </row>
    <row r="30">
      <c r="A30" s="2" t="inlineStr">
        <is>
          <t>OCC-11-BLOCKSVERSION-REPLACES-HASHING</t>
        </is>
      </c>
      <c r="B30" s="3" t="inlineStr">
        <is>
          <t>(ESCALATION — only if OCC-9b doesn't hold. Then it supersedes OCC-9 entirely.)</t>
        </is>
      </c>
      <c r="C30" s="2" t="inlineStr">
        <is>
          <t>Triage / core</t>
        </is>
      </c>
      <c r="D30" s="4" t="inlineStr">
        <is>
          <t>P0</t>
        </is>
      </c>
      <c r="E30" s="5" t="inlineStr">
        <is>
          <t>Done</t>
        </is>
      </c>
      <c r="F30" s="2" t="inlineStr">
        <is>
          <t>ground-zero-triage.md:161</t>
        </is>
      </c>
      <c r="G30" s="2" t="inlineStr"/>
    </row>
    <row r="31">
      <c r="A31" s="2" t="inlineStr">
        <is>
          <t>OCC-12-BLOCKSVERSION-LOST-ITS-QUALIFIERS</t>
        </is>
      </c>
      <c r="B31" s="3" t="inlineStr">
        <is>
          <t>(Florin: "OCC-11 didn't cut it either" — 2026-07-27)</t>
        </is>
      </c>
      <c r="C31" s="2" t="inlineStr">
        <is>
          <t>Triage / core</t>
        </is>
      </c>
      <c r="D31" s="4" t="inlineStr">
        <is>
          <t>P0</t>
        </is>
      </c>
      <c r="E31" s="5" t="inlineStr">
        <is>
          <t>Done</t>
        </is>
      </c>
      <c r="F31" s="2" t="inlineStr">
        <is>
          <t>ground-zero-triage.md:178</t>
        </is>
      </c>
      <c r="G31" s="2" t="inlineStr"/>
    </row>
    <row r="32">
      <c r="A32" s="2" t="inlineStr">
        <is>
          <t>OCC-15-SYNC-QUEUE-HAS-NO-SINGLE-FLIGHT-LOCK</t>
        </is>
      </c>
      <c r="B32" s="3" t="inlineStr">
        <is>
          <t>(Florin, 2026-07-27, after OCC-14 fixed the general case: "I edited a quote, deleted lines, no protest. The sync issue fires when I edit text.")</t>
        </is>
      </c>
      <c r="C32" s="2" t="inlineStr">
        <is>
          <t>Triage / core</t>
        </is>
      </c>
      <c r="D32" s="4" t="inlineStr">
        <is>
          <t>P0</t>
        </is>
      </c>
      <c r="E32" s="5" t="inlineStr">
        <is>
          <t>Done</t>
        </is>
      </c>
      <c r="F32" s="2" t="inlineStr">
        <is>
          <t>ground-zero-triage.md:227</t>
        </is>
      </c>
      <c r="G32" s="2" t="inlineStr"/>
    </row>
    <row r="33">
      <c r="A33" s="2" t="inlineStr">
        <is>
          <t>OCC-2-SYSTEM-WRITE-TAG</t>
        </is>
      </c>
      <c r="B33" s="3" t="inlineStr">
        <is>
          <t>mark non-human writes so they're never reported as "someone else."</t>
        </is>
      </c>
      <c r="C33" s="2" t="inlineStr">
        <is>
          <t>Triage / core</t>
        </is>
      </c>
      <c r="D33" s="4" t="inlineStr">
        <is>
          <t>P0</t>
        </is>
      </c>
      <c r="E33" s="5" t="inlineStr">
        <is>
          <t>Done</t>
        </is>
      </c>
      <c r="F33" s="2" t="inlineStr">
        <is>
          <t>ground-zero-triage.md:90</t>
        </is>
      </c>
      <c r="G33" s="2" t="inlineStr"/>
    </row>
    <row r="34">
      <c r="A34" s="2" t="inlineStr">
        <is>
          <t>OCC-6-BLOCKS-GUARD-TOO-BROAD</t>
        </is>
      </c>
      <c r="B34" s="3" t="inlineStr">
        <is>
          <t>REGRESSION — reproducible on EVERY new quote (Florin live, 2026-07-26).</t>
        </is>
      </c>
      <c r="C34" s="2" t="inlineStr">
        <is>
          <t>Triage / core</t>
        </is>
      </c>
      <c r="D34" s="4" t="inlineStr">
        <is>
          <t>P0</t>
        </is>
      </c>
      <c r="E34" s="5" t="inlineStr">
        <is>
          <t>Done</t>
        </is>
      </c>
      <c r="F34" s="2" t="inlineStr">
        <is>
          <t>ground-zero-triage.md:113</t>
        </is>
      </c>
      <c r="G34" s="2" t="inlineStr"/>
    </row>
    <row r="35">
      <c r="A35" s="2" t="inlineStr">
        <is>
          <t>OCC-7-DERIVED-FIELDS-NEVER-CONFLICT</t>
        </is>
      </c>
      <c r="B35" s="3" t="inlineStr">
        <is>
          <t>(Florin live, 2026-07-26 — conflict dialog on totalVat / totalExVat / totalIncVat)</t>
        </is>
      </c>
      <c r="C35" s="2" t="inlineStr">
        <is>
          <t>Triage / core</t>
        </is>
      </c>
      <c r="D35" s="4" t="inlineStr">
        <is>
          <t>P0</t>
        </is>
      </c>
      <c r="E35" s="5" t="inlineStr">
        <is>
          <t>Done</t>
        </is>
      </c>
      <c r="F35" s="2" t="inlineStr">
        <is>
          <t>ground-zero-triage.md:127</t>
        </is>
      </c>
      <c r="G35" s="2" t="inlineStr"/>
    </row>
    <row r="36">
      <c r="A36" s="2" t="inlineStr">
        <is>
          <t>OCC-9-BLOCKSHASH-CAN-NEVER-MATCH</t>
        </is>
      </c>
      <c r="B36" s="3" t="inlineStr">
        <is>
          <t>(Florin live, 2026-07-27 — "No conflicting fields found! The conflict was likely in document layout or blocks" while editing a quote)</t>
        </is>
      </c>
      <c r="C36" s="2" t="inlineStr">
        <is>
          <t>Triage / core</t>
        </is>
      </c>
      <c r="D36" s="4" t="inlineStr">
        <is>
          <t>P0</t>
        </is>
      </c>
      <c r="E36" s="5" t="inlineStr">
        <is>
          <t>Done</t>
        </is>
      </c>
      <c r="F36" s="2" t="inlineStr">
        <is>
          <t>ground-zero-triage.md:145</t>
        </is>
      </c>
      <c r="G36" s="2" t="inlineStr"/>
    </row>
    <row r="37">
      <c r="A37" s="2" t="inlineStr">
        <is>
          <t>OCC-9b</t>
        </is>
      </c>
      <c r="B37" s="3" t="inlineStr">
        <is>
          <t>(do before OCC-11; zero schema risk, may be the whole fix)</t>
        </is>
      </c>
      <c r="C37" s="2" t="inlineStr">
        <is>
          <t>Triage / core</t>
        </is>
      </c>
      <c r="D37" s="4" t="inlineStr">
        <is>
          <t>P0</t>
        </is>
      </c>
      <c r="E37" s="5" t="inlineStr">
        <is>
          <t>Done</t>
        </is>
      </c>
      <c r="F37" s="2" t="inlineStr">
        <is>
          <t>ground-zero-triage.md:155</t>
        </is>
      </c>
      <c r="G37" s="2" t="inlineStr"/>
    </row>
    <row r="38">
      <c r="A38" s="2" t="inlineStr">
        <is>
          <t>QUOTE-INVOICE-ENGINE-130</t>
        </is>
      </c>
      <c r="B38" s="3" t="inlineStr">
        <is>
          <t>ROOT CAUSE (Planner, high confidence): a broken component import introduced by cdd3b41 ATTACH-EVERYWHERE ("reusable panel on all detail surfaces" — touched BOTH engines). Last verified-working quotation engine was at aaf3c98 (TDZ fix); cdd3b41 is the next change and broke it → matches Florin's "a...</t>
        </is>
      </c>
      <c r="C38" s="2" t="inlineStr">
        <is>
          <t>Triage / core</t>
        </is>
      </c>
      <c r="D38" s="4" t="inlineStr">
        <is>
          <t>P0</t>
        </is>
      </c>
      <c r="E38" s="5" t="inlineStr">
        <is>
          <t>Done</t>
        </is>
      </c>
      <c r="F38" s="2" t="inlineStr">
        <is>
          <t>ground-zero-triage.md:670</t>
        </is>
      </c>
      <c r="G38" s="2" t="inlineStr"/>
    </row>
    <row r="39">
      <c r="A39" s="2" t="inlineStr">
        <is>
          <t>SCHED-DELETE-CRASH</t>
        </is>
      </c>
      <c r="B39" s="3" t="inlineStr">
        <is>
          <t>deleting a shift crashes the app; a second (confirm) modal never surfaces from the edit-shift modal → force-nav to dashboard. ROOT CAUSE (traced): EditShiftDialog.tsx nests an AlertDialog (confirm) inside the Dialog (L27-35 imports both) — Radix nested Dialog/AlertDialog don't co-render cleanly (...</t>
        </is>
      </c>
      <c r="C39" s="2" t="inlineStr">
        <is>
          <t>Triage / core</t>
        </is>
      </c>
      <c r="D39" s="4" t="inlineStr">
        <is>
          <t>P0</t>
        </is>
      </c>
      <c r="E39" s="5" t="inlineStr">
        <is>
          <t>Done</t>
        </is>
      </c>
      <c r="F39" s="2" t="inlineStr">
        <is>
          <t>ground-zero-triage.md:631</t>
        </is>
      </c>
      <c r="G39" s="2" t="inlineStr"/>
    </row>
    <row r="40">
      <c r="A40" s="2" t="inlineStr">
        <is>
          <t>WORKHUB-LEAVE-SUBMIT-CRASH</t>
        </is>
      </c>
      <c r="B40" s="3" t="inlineStr">
        <is>
          <t>submitting a leave request crashes the app. Planner-traced: src/components/time-tracker/components/TimeOffRequestForm.tsx handleSubmit (L59) builds description: \${format(startDate!, 'MMM d')} - ${format(endDate!, 'MMM d, yyyy')}\ (L68) — the ! non-null assertions are unsafe; if startDate/endDate...</t>
        </is>
      </c>
      <c r="C40" s="2" t="inlineStr">
        <is>
          <t>Triage / core</t>
        </is>
      </c>
      <c r="D40" s="4" t="inlineStr">
        <is>
          <t>P0</t>
        </is>
      </c>
      <c r="E40" s="5" t="inlineStr">
        <is>
          <t>Done</t>
        </is>
      </c>
      <c r="F40" s="2" t="inlineStr">
        <is>
          <t>ground-zero-triage.md:1103</t>
        </is>
      </c>
      <c r="G40" s="2" t="inlineStr"/>
    </row>
    <row r="41">
      <c r="A41" s="2" t="inlineStr">
        <is>
          <t>WORKHUB-SHIFT-USERID-MISMATCH</t>
        </is>
      </c>
      <c r="B41" s="3" t="inlineStr">
        <is>
          <t>scheduled shifts never appear in the WorkHub app. Florin created single / recurring / leave shifts successfully; none show for the worker.</t>
        </is>
      </c>
      <c r="C41" s="2" t="inlineStr">
        <is>
          <t>Triage / core</t>
        </is>
      </c>
      <c r="D41" s="4" t="inlineStr">
        <is>
          <t>P0</t>
        </is>
      </c>
      <c r="E41" s="5" t="inlineStr">
        <is>
          <t>Done</t>
        </is>
      </c>
      <c r="F41" s="2" t="inlineStr">
        <is>
          <t>ground-zero-triage.md:246</t>
        </is>
      </c>
      <c r="G41" s="2" t="inlineStr"/>
    </row>
    <row r="42">
      <c r="A42" s="2" t="inlineStr">
        <is>
          <t>WORKHUB-SHIFTS-FILTERED-BY-EMPLOYEE-MAP</t>
        </is>
      </c>
      <c r="B42" s="3" t="inlineStr">
        <is>
          <t>components/time-tracker/hooks/useScheduledShifts.ts:133-136:</t>
        </is>
      </c>
      <c r="C42" s="2" t="inlineStr">
        <is>
          <t>Triage / core</t>
        </is>
      </c>
      <c r="D42" s="4" t="inlineStr">
        <is>
          <t>P0</t>
        </is>
      </c>
      <c r="E42" s="5" t="inlineStr">
        <is>
          <t>Done</t>
        </is>
      </c>
      <c r="F42" s="2" t="inlineStr">
        <is>
          <t>ground-zero-triage.md:312</t>
        </is>
      </c>
      <c r="G42" s="2" t="inlineStr"/>
    </row>
    <row r="43">
      <c r="A43" s="2" t="inlineStr">
        <is>
          <t>WORKHUB-SITEVISIT-RESOLVEDBID</t>
        </is>
      </c>
      <c r="B43" s="3" t="inlineStr">
        <is>
          <t>ROOT CAUSE (Planner-traced at source): src/components/time-tracker/components/SiteVisitModal.tsx:39 does const resolveDbId = useDatabaseStore(state =&gt; state.resolveDbId). The database store (store.ts) does NOT define resolveDbId in its state — it's a TenantContext member. So state.resolveDbId is ...</t>
        </is>
      </c>
      <c r="C43" s="2" t="inlineStr">
        <is>
          <t>Triage / core</t>
        </is>
      </c>
      <c r="D43" s="4" t="inlineStr">
        <is>
          <t>P0</t>
        </is>
      </c>
      <c r="E43" s="5" t="inlineStr">
        <is>
          <t>Done</t>
        </is>
      </c>
      <c r="F43" s="2" t="inlineStr">
        <is>
          <t>ground-zero-triage.md:678</t>
        </is>
      </c>
      <c r="G43" s="2" t="inlineStr"/>
    </row>
    <row r="44">
      <c r="A44" s="2" t="inlineStr">
        <is>
          <t>WORKHUB-USABLE</t>
        </is>
      </c>
      <c r="B44" s="3" t="inlineStr">
        <is>
          <t>consolidation; refine + verify the existing specs, they haven't landed:</t>
        </is>
      </c>
      <c r="C44" s="2" t="inlineStr">
        <is>
          <t>Triage / core</t>
        </is>
      </c>
      <c r="D44" s="4" t="inlineStr">
        <is>
          <t>P0</t>
        </is>
      </c>
      <c r="E44" s="2" t="inlineStr">
        <is>
          <t>Open</t>
        </is>
      </c>
      <c r="F44" s="2" t="inlineStr">
        <is>
          <t>ground-zero-triage.md:617</t>
        </is>
      </c>
      <c r="G44" s="2" t="inlineStr"/>
    </row>
    <row r="45">
      <c r="A45" s="2" t="inlineStr">
        <is>
          <t>—</t>
        </is>
      </c>
      <c r="B45" s="3" t="inlineStr">
        <is>
          <t>OCC-8-DIRTYBASE-LIFECYCLE (self-collision) 🟥🟥 — the engine is conflicting with its own earlier save.</t>
        </is>
      </c>
      <c r="C45" s="2" t="inlineStr">
        <is>
          <t>Triage / core</t>
        </is>
      </c>
      <c r="D45" s="4" t="inlineStr">
        <is>
          <t>P0</t>
        </is>
      </c>
      <c r="E45" s="2" t="inlineStr">
        <is>
          <t>Open</t>
        </is>
      </c>
      <c r="F45" s="2" t="inlineStr">
        <is>
          <t>ground-zero-triage.md:134</t>
        </is>
      </c>
      <c r="G45" s="2" t="inlineStr"/>
    </row>
    <row r="46">
      <c r="A46" s="2" t="inlineStr">
        <is>
          <t>—</t>
        </is>
      </c>
      <c r="B46" s="3" t="inlineStr">
        <is>
          <t>OCC-13-CONFLICT-DEADLOCK — THE ACTUAL ROOT CAUSE 🟥🟥🟥 (Planner, 2026-07-27, after OCC-9/11/12 all failed to change the behaviour)</t>
        </is>
      </c>
      <c r="C46" s="2" t="inlineStr">
        <is>
          <t>Triage / core</t>
        </is>
      </c>
      <c r="D46" s="4" t="inlineStr">
        <is>
          <t>P0</t>
        </is>
      </c>
      <c r="E46" s="2" t="inlineStr">
        <is>
          <t>Open</t>
        </is>
      </c>
      <c r="F46" s="2" t="inlineStr">
        <is>
          <t>ground-zero-triage.md:198</t>
        </is>
      </c>
      <c r="G46" s="2" t="inlineStr"/>
    </row>
    <row r="47">
      <c r="A47" s="2" t="inlineStr">
        <is>
          <t>—</t>
        </is>
      </c>
      <c r="B47" s="3" t="inlineStr">
        <is>
          <t>OCC-14-RETURNED-TIMESTAMP-IS-NOT-THE-PERSISTED-ONE — THE GATE 🟥🟥🟥 (Planner, 2026-07-27, after OCC-9/11/12/13 all landed without changing the symptom)</t>
        </is>
      </c>
      <c r="C47" s="2" t="inlineStr">
        <is>
          <t>Triage / core</t>
        </is>
      </c>
      <c r="D47" s="4" t="inlineStr">
        <is>
          <t>P0</t>
        </is>
      </c>
      <c r="E47" s="2" t="inlineStr">
        <is>
          <t>Open</t>
        </is>
      </c>
      <c r="F47" s="2" t="inlineStr">
        <is>
          <t>ground-zero-triage.md:213</t>
        </is>
      </c>
      <c r="G47" s="2" t="inlineStr"/>
    </row>
    <row r="48">
      <c r="A48" s="2" t="inlineStr">
        <is>
          <t>—</t>
        </is>
      </c>
      <c r="B48" s="3" t="inlineStr">
        <is>
          <t>LEAVE-MODEL-DUPLICATION (found while specing the above — fix this FIRST, it blocks the rest) — there are two parallel, unconnected representations of "who is off":</t>
        </is>
      </c>
      <c r="C48" s="2" t="inlineStr">
        <is>
          <t>Triage / core</t>
        </is>
      </c>
      <c r="D48" s="4" t="inlineStr">
        <is>
          <t>P0</t>
        </is>
      </c>
      <c r="E48" s="2" t="inlineStr">
        <is>
          <t>Open</t>
        </is>
      </c>
      <c r="F48" s="2" t="inlineStr">
        <is>
          <t>ground-zero-triage.md:332</t>
        </is>
      </c>
      <c r="G48" s="2" t="inlineStr"/>
    </row>
    <row r="49">
      <c r="A49" s="2" t="inlineStr">
        <is>
          <t>—</t>
        </is>
      </c>
      <c r="B49" s="3" t="inlineStr">
        <is>
          <t>Tasks: file upload still appears to target Google Drive → crashes the app. Drive-out regression; must route to Blob (uploadFileAction), never /api/drive.</t>
        </is>
      </c>
      <c r="C49" s="2" t="inlineStr">
        <is>
          <t>Triage / core</t>
        </is>
      </c>
      <c r="D49" s="4" t="inlineStr">
        <is>
          <t>P0</t>
        </is>
      </c>
      <c r="E49" s="5" t="inlineStr">
        <is>
          <t>Done</t>
        </is>
      </c>
      <c r="F49" s="2" t="inlineStr">
        <is>
          <t>ground-zero-triage.md:921</t>
        </is>
      </c>
      <c r="G49" s="2" t="inlineStr"/>
    </row>
    <row r="50">
      <c r="A50" s="2" t="inlineStr">
        <is>
          <t>CAL-2</t>
        </is>
      </c>
      <c r="B50" s="3" t="inlineStr">
        <is>
          <t>turn GET /api/calendar/events into a date-ranged, tenant-scoped fan-out returning the normalized envelope; adapters for event + google first (parity), behind a sources param. Adapter registry pattern so later sources are additive.</t>
        </is>
      </c>
      <c r="C50" s="2" t="inlineStr">
        <is>
          <t>Calendar</t>
        </is>
      </c>
      <c r="D50" s="7" t="inlineStr">
        <is>
          <t>P1</t>
        </is>
      </c>
      <c r="E50" s="2" t="inlineStr">
        <is>
          <t>Open</t>
        </is>
      </c>
      <c r="F50" s="2" t="inlineStr">
        <is>
          <t>coral-calendar.md:66</t>
        </is>
      </c>
      <c r="G50" s="2" t="inlineStr"/>
    </row>
    <row r="51">
      <c r="A51" s="2" t="inlineStr">
        <is>
          <t>CAL-3</t>
        </is>
      </c>
      <c r="B51" s="3" t="inlineStr">
        <is>
          <t>adapters for shifts (ScheduledShift) and approved absences (TimeOffRequest) — Florin's original "connect the scheduler to the calendar" ask — then tasks (due), projects (start/end/milestones), financials (invoice due, quote expiry). Each is a toggleable layer in the existing sidebar with its own ...</t>
        </is>
      </c>
      <c r="C51" s="2" t="inlineStr">
        <is>
          <t>Calendar</t>
        </is>
      </c>
      <c r="D51" s="7" t="inlineStr">
        <is>
          <t>P1</t>
        </is>
      </c>
      <c r="E51" s="2" t="inlineStr">
        <is>
          <t>Open</t>
        </is>
      </c>
      <c r="F51" s="2" t="inlineStr">
        <is>
          <t>coral-calendar.md:67</t>
        </is>
      </c>
      <c r="G51" s="2" t="inlineStr"/>
    </row>
    <row r="52">
      <c r="A52" s="2" t="inlineStr">
        <is>
          <t>CAL-4</t>
        </is>
      </c>
      <c r="B52" s="3" t="inlineStr">
        <is>
          <t>wire deeplink so every entry opens its real record (shift → shift editor, absence → leave request, invoice → invoice, task → task panel). Tenant-check on open. Also fix CalendarView.tsx:85-89 (the database view's console.log dead-end). Cheapest big win: the calendar becomes a navigation surface.</t>
        </is>
      </c>
      <c r="C52" s="2" t="inlineStr">
        <is>
          <t>Calendar</t>
        </is>
      </c>
      <c r="D52" s="7" t="inlineStr">
        <is>
          <t>P1</t>
        </is>
      </c>
      <c r="E52" s="2" t="inlineStr">
        <is>
          <t>Open</t>
        </is>
      </c>
      <c r="F52" s="2" t="inlineStr">
        <is>
          <t>coral-calendar.md:68</t>
        </is>
      </c>
      <c r="G52" s="2" t="inlineStr"/>
    </row>
    <row r="53">
      <c r="A53" s="2" t="inlineStr">
        <is>
          <t>ATT-4</t>
        </is>
      </c>
      <c r="B53" s="3" t="inlineStr">
        <is>
          <t>the success toast lists the attached filenames, and the sent-record/audit entry stores the attachment list. Then "did the client get the plan?" is answerable from the record instead of from memory.</t>
        </is>
      </c>
      <c r="C53" s="2" t="inlineStr">
        <is>
          <t>Email attachments</t>
        </is>
      </c>
      <c r="D53" s="7" t="inlineStr">
        <is>
          <t>P1</t>
        </is>
      </c>
      <c r="E53" s="2" t="inlineStr">
        <is>
          <t>Open</t>
        </is>
      </c>
      <c r="F53" s="2" t="inlineStr">
        <is>
          <t>coral-email-attachments-bug.md:59</t>
        </is>
      </c>
      <c r="G53" s="2" t="inlineStr"/>
    </row>
    <row r="54">
      <c r="A54" s="2" t="inlineStr">
        <is>
          <t>N2-RELATION-LINK-ICON</t>
        </is>
      </c>
      <c r="B54" s="3" t="inlineStr">
        <is>
          <t>Link-back icon on relation fields does not route on many surfaces</t>
        </is>
      </c>
      <c r="C54" s="2" t="inlineStr">
        <is>
          <t>Engine · Relations</t>
        </is>
      </c>
      <c r="D54" s="7" t="inlineStr">
        <is>
          <t>P1</t>
        </is>
      </c>
      <c r="E54" s="2" t="inlineStr">
        <is>
          <t>Open</t>
        </is>
      </c>
      <c r="F54" s="2" t="inlineStr">
        <is>
          <t>no spec yet</t>
        </is>
      </c>
      <c r="G54" s="2" t="inlineStr">
        <is>
          <t>Not yet investigated</t>
        </is>
      </c>
    </row>
    <row r="55">
      <c r="A55" s="2" t="inlineStr">
        <is>
          <t>PROT-1</t>
        </is>
      </c>
      <c r="B55" s="3" t="inlineStr">
        <is>
          <t>a Protest action on the purchase-invoice record detail (and as a row action in the expenses grid). Opens a small dialog:</t>
        </is>
      </c>
      <c r="C55" s="2" t="inlineStr">
        <is>
          <t>Finance · Invoice protest</t>
        </is>
      </c>
      <c r="D55" s="7" t="inlineStr">
        <is>
          <t>P1</t>
        </is>
      </c>
      <c r="E55" s="2" t="inlineStr">
        <is>
          <t>Open</t>
        </is>
      </c>
      <c r="F55" s="2" t="inlineStr">
        <is>
          <t>coral-invoice-protest.md:19</t>
        </is>
      </c>
      <c r="G55" s="2" t="inlineStr"/>
    </row>
    <row r="56">
      <c r="A56" s="2" t="inlineStr">
        <is>
          <t>PROT-2</t>
        </is>
      </c>
      <c r="B56" s="3" t="inlineStr">
        <is>
          <t>resolve in this order: supplier record's language property → tenant default → nl. Support NL / FR / EN (add DE only if a supplier needs it). If the supplier has no language set, default to NL and show which language was chosen in the modal, so a wrong pick is visible before sending, not after. Be...</t>
        </is>
      </c>
      <c r="C56" s="2" t="inlineStr">
        <is>
          <t>Finance · Invoice protest</t>
        </is>
      </c>
      <c r="D56" s="7" t="inlineStr">
        <is>
          <t>P1</t>
        </is>
      </c>
      <c r="E56" s="2" t="inlineStr">
        <is>
          <t>Open</t>
        </is>
      </c>
      <c r="F56" s="2" t="inlineStr">
        <is>
          <t>coral-invoice-protest.md:23</t>
        </is>
      </c>
      <c r="G56" s="2" t="inlineStr"/>
    </row>
    <row r="57">
      <c r="A57" s="2" t="inlineStr">
        <is>
          <t>PROT-3</t>
        </is>
      </c>
      <c r="B57" s="3" t="inlineStr">
        <is>
          <t>one template per language (NL / FR / EN), in messages/.json (not hardcoded), composed of: salutation → statement of protest with invoice number, invoice date, amount, supplier name → the reason paragraph (from PROT-1) → free-text detail → what is expected (a credit note AND a corrected invoice — ...</t>
        </is>
      </c>
      <c r="C57" s="2" t="inlineStr">
        <is>
          <t>Finance · Invoice protest</t>
        </is>
      </c>
      <c r="D57" s="7" t="inlineStr">
        <is>
          <t>P1</t>
        </is>
      </c>
      <c r="E57" s="2" t="inlineStr">
        <is>
          <t>Open</t>
        </is>
      </c>
      <c r="F57" s="2" t="inlineStr">
        <is>
          <t>coral-invoice-protest.md:24</t>
        </is>
      </c>
      <c r="G57" s="2" t="inlineStr"/>
    </row>
    <row r="58">
      <c r="A58" s="2" t="inlineStr">
        <is>
          <t>PROT-4</t>
        </is>
      </c>
      <c r="B58" s="3" t="inlineStr">
        <is>
          <t>attach the original invoice document (the stored purchase-invoice PDF / scan / Peppol-rendered PDF) to the outgoing mail. Serve via the authenticated /api/files/&lt;key&gt; route — never a bare blob key or public URL (same trap as RECEIPT-BONNETJE-LINK). If the record has no stored document, allow send...</t>
        </is>
      </c>
      <c r="C58" s="2" t="inlineStr">
        <is>
          <t>Finance · Invoice protest</t>
        </is>
      </c>
      <c r="D58" s="7" t="inlineStr">
        <is>
          <t>P1</t>
        </is>
      </c>
      <c r="E58" s="2" t="inlineStr">
        <is>
          <t>Open</t>
        </is>
      </c>
      <c r="F58" s="2" t="inlineStr">
        <is>
          <t>coral-invoice-protest.md:29</t>
        </is>
      </c>
      <c r="G58" s="2" t="inlineStr"/>
    </row>
    <row r="59">
      <c r="A59" s="2" t="inlineStr">
        <is>
          <t>PROT-6</t>
        </is>
      </c>
      <c r="B59" s="3" t="inlineStr">
        <is>
          <t>on send, write to the invoice record: protestStatus (geprotesteerd), protestedAt, protestReason, protestedBy, disputedAmount (if partial), and a link/id to the sent mail. Surface a "Geprotesteerd" badge in the expenses grid and on the record. Additive properties only (pd.md). Also: exclude protes...</t>
        </is>
      </c>
      <c r="C59" s="2" t="inlineStr">
        <is>
          <t>Finance · Invoice protest</t>
        </is>
      </c>
      <c r="D59" s="7" t="inlineStr">
        <is>
          <t>P1</t>
        </is>
      </c>
      <c r="E59" s="2" t="inlineStr">
        <is>
          <t>Open</t>
        </is>
      </c>
      <c r="F59" s="2" t="inlineStr">
        <is>
          <t>coral-invoice-protest.md:31</t>
        </is>
      </c>
      <c r="G59" s="2" t="inlineStr"/>
    </row>
    <row r="60">
      <c r="A60" s="2" t="inlineStr">
        <is>
          <t>PI-ART-1</t>
        </is>
      </c>
      <c r="B60" s="3" t="inlineStr">
        <is>
          <t>each purchase-invoice line description becomes a searchable field against db-articles (reuse the quotation engine's existing article SearchableSelect — do not build a second search). Typing/opening a line offers matching articles; fuzzy match on description, with supplier + unit as tie-breakers.</t>
        </is>
      </c>
      <c r="C60" s="2" t="inlineStr">
        <is>
          <t>Finance · Purchase invoices</t>
        </is>
      </c>
      <c r="D60" s="7" t="inlineStr">
        <is>
          <t>P1</t>
        </is>
      </c>
      <c r="E60" s="2" t="inlineStr">
        <is>
          <t>Open</t>
        </is>
      </c>
      <c r="F60" s="2" t="inlineStr">
        <is>
          <t>coral-purchase-invoice-lines.md:32</t>
        </is>
      </c>
      <c r="G60" s="2" t="inlineStr"/>
    </row>
    <row r="61">
      <c r="A61" s="2" t="inlineStr">
        <is>
          <t>PI-ART-2</t>
        </is>
      </c>
      <c r="B61" s="3" t="inlineStr">
        <is>
          <t>when a line matches an existing article, the modal shows: the article (name, unit, current purchase price, last-updated date) beside the invoice line (description, qty, unit, unit price, VAT), and offers:</t>
        </is>
      </c>
      <c r="C61" s="2" t="inlineStr">
        <is>
          <t>Finance · Purchase invoices</t>
        </is>
      </c>
      <c r="D61" s="7" t="inlineStr">
        <is>
          <t>P1</t>
        </is>
      </c>
      <c r="E61" s="2" t="inlineStr">
        <is>
          <t>Open</t>
        </is>
      </c>
      <c r="F61" s="2" t="inlineStr">
        <is>
          <t>coral-purchase-invoice-lines.md:33</t>
        </is>
      </c>
      <c r="G61" s="2" t="inlineStr"/>
    </row>
    <row r="62">
      <c r="A62" s="2" t="inlineStr">
        <is>
          <t>PI-ART-3</t>
        </is>
      </c>
      <c r="B62" s="3" t="inlineStr">
        <is>
          <t>when no match exists, "Add to article library" directly from the line (and from the modal). Prefill from the invoice line: description → name, unit, unit price → purchase price, VAT rate, supplier (from the invoice), artikelgroep (let the user pick; suggest from the supplier's usual group). Creat...</t>
        </is>
      </c>
      <c r="C62" s="2" t="inlineStr">
        <is>
          <t>Finance · Purchase invoices</t>
        </is>
      </c>
      <c r="D62" s="7" t="inlineStr">
        <is>
          <t>P1</t>
        </is>
      </c>
      <c r="E62" s="2" t="inlineStr">
        <is>
          <t>Open</t>
        </is>
      </c>
      <c r="F62" s="2" t="inlineStr">
        <is>
          <t>coral-purchase-invoice-lines.md:38</t>
        </is>
      </c>
      <c r="G62" s="2" t="inlineStr"/>
    </row>
    <row r="63">
      <c r="A63" s="2" t="inlineStr">
        <is>
          <t>PI-ART-6</t>
        </is>
      </c>
      <c r="B63" s="3" t="inlineStr">
        <is>
          <t>when an article is pulled into a quotation line, compare the article's stored price against the most recently observed purchase price (preferred supplier, or the cheapest — see below). If they differ, show an inline, non-blocking indicator on the line: "Library €12.40 · last bought €13.10 (+5.6%)...</t>
        </is>
      </c>
      <c r="C63" s="2" t="inlineStr">
        <is>
          <t>Finance · Purchase invoices</t>
        </is>
      </c>
      <c r="D63" s="7" t="inlineStr">
        <is>
          <t>P1</t>
        </is>
      </c>
      <c r="E63" s="2" t="inlineStr">
        <is>
          <t>Open</t>
        </is>
      </c>
      <c r="F63" s="2" t="inlineStr">
        <is>
          <t>coral-purchase-invoice-lines.md:60</t>
        </is>
      </c>
      <c r="G63" s="2" t="inlineStr"/>
    </row>
    <row r="64">
      <c r="A64" s="2" t="inlineStr">
        <is>
          <t>TS-2</t>
        </is>
      </c>
      <c r="B64" s="3" t="inlineStr">
        <is>
          <t>(Florin, 2026-07-27: "I do want all crystallised in one working page… reporting, filtering and approval flow added to the timesheets page without uselessly creating others.")</t>
        </is>
      </c>
      <c r="C64" s="2" t="inlineStr">
        <is>
          <t>HR · Timesheet reporting</t>
        </is>
      </c>
      <c r="D64" s="7" t="inlineStr">
        <is>
          <t>P1</t>
        </is>
      </c>
      <c r="E64" s="2" t="inlineStr">
        <is>
          <t>Open</t>
        </is>
      </c>
      <c r="F64" s="2" t="inlineStr">
        <is>
          <t>coral-timesheet-reporting.md:32</t>
        </is>
      </c>
      <c r="G64" s="2" t="inlineStr"/>
    </row>
    <row r="65">
      <c r="A65" s="2" t="inlineStr">
        <is>
          <t>TS-4</t>
        </is>
      </c>
      <c r="B65" s="3" t="inlineStr">
        <is>
          <t>from any filtered result:</t>
        </is>
      </c>
      <c r="C65" s="2" t="inlineStr">
        <is>
          <t>HR · Timesheet reporting</t>
        </is>
      </c>
      <c r="D65" s="7" t="inlineStr">
        <is>
          <t>P1</t>
        </is>
      </c>
      <c r="E65" s="2" t="inlineStr">
        <is>
          <t>Open</t>
        </is>
      </c>
      <c r="F65" s="2" t="inlineStr">
        <is>
          <t>coral-timesheet-reporting.md:60</t>
        </is>
      </c>
      <c r="G65" s="2" t="inlineStr"/>
    </row>
    <row r="66">
      <c r="A66" s="2" t="inlineStr">
        <is>
          <t>TS-5</t>
        </is>
      </c>
      <c r="B66" s="3" t="inlineStr">
        <is>
          <t>ClockEntry.photos and ShiftAttachment are captured but not usable in bulk. Build: a gallery per entry/shift/project/period; thumbnails in the report row; bulk download as ZIP (per project or period); attach selected photos into the werkbon PDF (TS-4) as evidence; and push relevant photos through ...</t>
        </is>
      </c>
      <c r="C66" s="2" t="inlineStr">
        <is>
          <t>HR · Timesheet reporting</t>
        </is>
      </c>
      <c r="D66" s="7" t="inlineStr">
        <is>
          <t>P1</t>
        </is>
      </c>
      <c r="E66" s="2" t="inlineStr">
        <is>
          <t>Open</t>
        </is>
      </c>
      <c r="F66" s="2" t="inlineStr">
        <is>
          <t>coral-timesheet-reporting.md:65</t>
        </is>
      </c>
      <c r="G66" s="2" t="inlineStr"/>
    </row>
    <row r="67">
      <c r="A67" s="2" t="inlineStr">
        <is>
          <t>TSP-2</t>
        </is>
      </c>
      <c r="B67" s="3" t="inlineStr">
        <is>
          <t>presets + custom range + worker/project/billable/source. Filter state lives in URL query params so a filtered view is shareable, survives refresh, and back/forward works. Debounce refetch.</t>
        </is>
      </c>
      <c r="C67" s="2" t="inlineStr">
        <is>
          <t>HR · Timesheets page</t>
        </is>
      </c>
      <c r="D67" s="7" t="inlineStr">
        <is>
          <t>P1</t>
        </is>
      </c>
      <c r="E67" s="2" t="inlineStr">
        <is>
          <t>Open</t>
        </is>
      </c>
      <c r="F67" s="2" t="inlineStr">
        <is>
          <t>coral-timesheets-page.md:65</t>
        </is>
      </c>
      <c r="G67" s="2" t="inlineStr"/>
    </row>
    <row r="68">
      <c r="A68" s="2" t="inlineStr">
        <is>
          <t>TSP-3</t>
        </is>
      </c>
      <c r="B68" s="3" t="inlineStr">
        <is>
          <t>cards from summary; chips set approvalStatus. The pending count badge also appears on the TIMESHEETS entry in hrTabs — this is the forcing function that stops approvals being silently forgotten (pd.md).</t>
        </is>
      </c>
      <c r="C68" s="2" t="inlineStr">
        <is>
          <t>HR · Timesheets page</t>
        </is>
      </c>
      <c r="D68" s="7" t="inlineStr">
        <is>
          <t>P1</t>
        </is>
      </c>
      <c r="E68" s="2" t="inlineStr">
        <is>
          <t>Open</t>
        </is>
      </c>
      <c r="F68" s="2" t="inlineStr">
        <is>
          <t>coral-timesheets-page.md:66</t>
        </is>
      </c>
      <c r="G68" s="2" t="inlineStr"/>
    </row>
    <row r="69">
      <c r="A69" s="2" t="inlineStr">
        <is>
          <t>TSP-4</t>
        </is>
      </c>
      <c r="B69" s="3" t="inlineStr">
        <is>
          <t>toggle flat / by worker / by project using rollups.byWorker / rollups.byProject; expandable groups; grand total row. This is the "reports page" capability, delivered as a view state.</t>
        </is>
      </c>
      <c r="C69" s="2" t="inlineStr">
        <is>
          <t>HR · Timesheets page</t>
        </is>
      </c>
      <c r="D69" s="7" t="inlineStr">
        <is>
          <t>P1</t>
        </is>
      </c>
      <c r="E69" s="2" t="inlineStr">
        <is>
          <t>Open</t>
        </is>
      </c>
      <c r="F69" s="2" t="inlineStr">
        <is>
          <t>coral-timesheets-page.md:67</t>
        </is>
      </c>
      <c r="G69" s="2" t="inlineStr"/>
    </row>
    <row r="70">
      <c r="A70" s="2" t="inlineStr">
        <is>
          <t>TSP-6</t>
        </is>
      </c>
      <c r="B70" s="3" t="inlineStr">
        <is>
          <t>Export dropdown calls /api/hr/timesheet-export with the current filter + grouping. XLSX already works — wire it. Add CSV (papaparse, installed) and PDF werkbon/prestatiestaat (@react-pdf/renderer, the established pattern — see InvoicePDFTemplate). The exported file states the active filter set in...</t>
        </is>
      </c>
      <c r="C70" s="2" t="inlineStr">
        <is>
          <t>HR · Timesheets page</t>
        </is>
      </c>
      <c r="D70" s="7" t="inlineStr">
        <is>
          <t>P1</t>
        </is>
      </c>
      <c r="E70" s="2" t="inlineStr">
        <is>
          <t>Open</t>
        </is>
      </c>
      <c r="F70" s="2" t="inlineStr">
        <is>
          <t>coral-timesheets-page.md:69</t>
        </is>
      </c>
      <c r="G70" s="2" t="inlineStr"/>
    </row>
    <row r="71">
      <c r="A71" s="2" t="inlineStr">
        <is>
          <t>TSP-B3</t>
        </is>
      </c>
      <c r="B71" s="3" t="inlineStr">
        <is>
          <t>the Period control must include a custom date-range picker, not just presets. Reuse the existing src/components/ui/CustomDatePicker.tsx — do not introduce another calendar component or a third date-picking pattern. Selecting a range sets from/to in the URL params that already drive the API.</t>
        </is>
      </c>
      <c r="C71" s="2" t="inlineStr">
        <is>
          <t>HR · Timesheets page</t>
        </is>
      </c>
      <c r="D71" s="7" t="inlineStr">
        <is>
          <t>P1</t>
        </is>
      </c>
      <c r="E71" s="2" t="inlineStr">
        <is>
          <t>Open</t>
        </is>
      </c>
      <c r="F71" s="2" t="inlineStr">
        <is>
          <t>coral-timesheets-page.md:59</t>
        </is>
      </c>
      <c r="G71" s="2" t="inlineStr"/>
    </row>
    <row r="72">
      <c r="A72" s="2" t="inlineStr">
        <is>
          <t>MEM-2</t>
        </is>
      </c>
      <c r="B72" s="3" t="inlineStr"/>
      <c r="C72" s="2" t="inlineStr">
        <is>
          <t>Performance · Memory</t>
        </is>
      </c>
      <c r="D72" s="7" t="inlineStr">
        <is>
          <t>P1</t>
        </is>
      </c>
      <c r="E72" s="2" t="inlineStr">
        <is>
          <t>Open</t>
        </is>
      </c>
      <c r="F72" s="2" t="inlineStr">
        <is>
          <t>coral-memory-investigation.md:40</t>
        </is>
      </c>
      <c r="G72" s="2" t="inlineStr"/>
    </row>
    <row r="73">
      <c r="A73" s="2" t="inlineStr">
        <is>
          <t>MEM-3</t>
        </is>
      </c>
      <c r="B73" s="3" t="inlineStr">
        <is>
          <t>(the root fix)</t>
        </is>
      </c>
      <c r="C73" s="2" t="inlineStr">
        <is>
          <t>Performance · Memory</t>
        </is>
      </c>
      <c r="D73" s="7" t="inlineStr">
        <is>
          <t>P1</t>
        </is>
      </c>
      <c r="E73" s="6" t="inlineStr">
        <is>
          <t>In progress</t>
        </is>
      </c>
      <c r="F73" s="2" t="inlineStr">
        <is>
          <t>coral-memory-investigation.md:43</t>
        </is>
      </c>
      <c r="G73" s="2" t="inlineStr"/>
    </row>
    <row r="74">
      <c r="A74" s="2" t="inlineStr">
        <is>
          <t>MEM-3b</t>
        </is>
      </c>
      <c r="B74" s="3" t="inlineStr">
        <is>
          <t>SPLIT THE SERVER ACTION — schemas without pages + getDatabasePages(dbId)</t>
        </is>
      </c>
      <c r="C74" s="2" t="inlineStr">
        <is>
          <t>Performance · Memory</t>
        </is>
      </c>
      <c r="D74" s="7" t="inlineStr">
        <is>
          <t>P1</t>
        </is>
      </c>
      <c r="E74" s="2" t="inlineStr">
        <is>
          <t>Open</t>
        </is>
      </c>
      <c r="F74" s="2" t="inlineStr">
        <is>
          <t>coral-mem3-lazy-data.md</t>
        </is>
      </c>
      <c r="G74" s="2" t="inlineStr"/>
    </row>
    <row r="75">
      <c r="A75" s="2" t="inlineStr">
        <is>
          <t>MEM-3c</t>
        </is>
      </c>
      <c r="B75" s="3" t="inlineStr">
        <is>
          <t>LAZY-LOAD CONTENT PER DATABASE — behind a feature flag; the actual win</t>
        </is>
      </c>
      <c r="C75" s="2" t="inlineStr">
        <is>
          <t>Performance · Memory</t>
        </is>
      </c>
      <c r="D75" s="7" t="inlineStr">
        <is>
          <t>P1</t>
        </is>
      </c>
      <c r="E75" s="2" t="inlineStr">
        <is>
          <t>Open</t>
        </is>
      </c>
      <c r="F75" s="2" t="inlineStr">
        <is>
          <t>coral-mem3-lazy-data.md</t>
        </is>
      </c>
      <c r="G75" s="2" t="inlineStr"/>
    </row>
    <row r="76">
      <c r="A76" s="2" t="inlineStr">
        <is>
          <t>PROJ-2</t>
        </is>
      </c>
      <c r="B76" s="3" t="inlineStr">
        <is>
          <t>TASK-STATUS-CONSISTENCY — TWO LIVE SUBSYSTEMS (project t-* vs module opt-*), each with its own writers and automations. NOT drifted data. Unifying means moving creation paths, toggle, progress automation, quote-service, cockpit, detail view, declared options AND data together</t>
        </is>
      </c>
      <c r="C76" s="2" t="inlineStr">
        <is>
          <t>Projects</t>
        </is>
      </c>
      <c r="D76" s="7" t="inlineStr">
        <is>
          <t>P1</t>
        </is>
      </c>
      <c r="E76" s="19" t="inlineStr">
        <is>
          <t>Parked</t>
        </is>
      </c>
      <c r="F76" s="2" t="inlineStr">
        <is>
          <t>coral-project-module.md:30</t>
        </is>
      </c>
      <c r="G76" s="2" t="inlineStr">
        <is>
          <t>PARKED — scope corrected 2026-09-12, see coral-task-status-two-subsystems.md</t>
        </is>
      </c>
    </row>
    <row r="77">
      <c r="A77" s="2" t="inlineStr">
        <is>
          <t>PROJ-3</t>
        </is>
      </c>
      <c r="B77" s="3" t="inlineStr">
        <is>
          <t>quoted = sum of ALL linked quotes + addendums (NOTE: the first-only .find bug is already FIXED — ProjectDetailView.tsx:192 now uses a plural linkedQuotations memo + forEach; verify rather than rebuild); invoiced = sum of connected invoice RECORDS (not vorderingenstaten) — this half is still open;...</t>
        </is>
      </c>
      <c r="C77" s="2" t="inlineStr">
        <is>
          <t>Projects</t>
        </is>
      </c>
      <c r="D77" s="7" t="inlineStr">
        <is>
          <t>P1</t>
        </is>
      </c>
      <c r="E77" s="2" t="inlineStr">
        <is>
          <t>Open</t>
        </is>
      </c>
      <c r="F77" s="2" t="inlineStr">
        <is>
          <t>coral-project-module.md:31</t>
        </is>
      </c>
      <c r="G77" s="2" t="inlineStr"/>
    </row>
    <row r="78">
      <c r="A78" s="2" t="inlineStr">
        <is>
          <t>PROJ-5</t>
        </is>
      </c>
      <c r="B78" s="3" t="inlineStr">
        <is>
          <t>finish ProjectCockpit into the command-center view: the live margin (quoted vs realized), revenue + cost ladders (with committed cost), progress %, budget-spent %, doc-status summary, crew-on-project. Match a real "is this project healthy" glance. (Reconfirm the layout with Florin — he flagged th...</t>
        </is>
      </c>
      <c r="C78" s="2" t="inlineStr">
        <is>
          <t>Projects</t>
        </is>
      </c>
      <c r="D78" s="7" t="inlineStr">
        <is>
          <t>P1</t>
        </is>
      </c>
      <c r="E78" s="2" t="inlineStr">
        <is>
          <t>Open</t>
        </is>
      </c>
      <c r="F78" s="2" t="inlineStr">
        <is>
          <t>coral-project-module.md:33</t>
        </is>
      </c>
      <c r="G78" s="2" t="inlineStr"/>
    </row>
    <row r="79">
      <c r="A79" s="2" t="inlineStr">
        <is>
          <t>PROJ-6</t>
        </is>
      </c>
      <c r="B79" s="3" t="inlineStr">
        <is>
          <t>surface on the project: scheduled shifts (who's assigned, when) + actual clocked labour hours &amp; cost vs quoted labour (data already aggregated: actualLaborHours, quotationFinancials.avgLabourRate). Ties the WorkHub/scheduler to the project (the WorkHub↔project link Florin has long wanted).</t>
        </is>
      </c>
      <c r="C79" s="2" t="inlineStr">
        <is>
          <t>Projects</t>
        </is>
      </c>
      <c r="D79" s="7" t="inlineStr">
        <is>
          <t>P1</t>
        </is>
      </c>
      <c r="E79" s="2" t="inlineStr">
        <is>
          <t>Open</t>
        </is>
      </c>
      <c r="F79" s="2" t="inlineStr">
        <is>
          <t>coral-project-module.md:34</t>
        </is>
      </c>
      <c r="G79" s="2" t="inlineStr"/>
    </row>
    <row r="80">
      <c r="A80" s="2" t="inlineStr">
        <is>
          <t>RCPT-L4b-3</t>
        </is>
      </c>
      <c r="B80" s="3" t="inlineStr">
        <is>
          <t>replace Done with the scan's own verdict: Klaar (green) or Na te kijken — &lt;reviewReason&gt; (amber, e.g. "Bedragen komen niet overeen", "Ontbrekende velden"), Mislukt + error (red). The data is already in the scan response; it's the difference between "something happened" and "this one needs your ey...</t>
        </is>
      </c>
      <c r="C80" s="2" t="inlineStr">
        <is>
          <t>Scan · Receipt bulk</t>
        </is>
      </c>
      <c r="D80" s="7" t="inlineStr">
        <is>
          <t>P1</t>
        </is>
      </c>
      <c r="E80" s="5" t="inlineStr">
        <is>
          <t>Done</t>
        </is>
      </c>
      <c r="F80" s="2" t="inlineStr">
        <is>
          <t>coral-receipt-bulk.md:79</t>
        </is>
      </c>
      <c r="G80" s="2" t="inlineStr"/>
    </row>
    <row r="81">
      <c r="A81" s="2" t="inlineStr">
        <is>
          <t>RCPT-L4b-4</t>
        </is>
      </c>
      <c r="B81" s="3" t="inlineStr">
        <is>
          <t>when all jobs finish, show a one-line summary and a primary button "Bekijk in Inbox (N)" which closes the modal and lands on the filtered Inbox view. Do not auto-close — the per-file outcomes are the point of the screen (pd.md: the system surfaces, the user decides).</t>
        </is>
      </c>
      <c r="C81" s="2" t="inlineStr">
        <is>
          <t>Scan · Receipt bulk</t>
        </is>
      </c>
      <c r="D81" s="7" t="inlineStr">
        <is>
          <t>P1</t>
        </is>
      </c>
      <c r="E81" s="5" t="inlineStr">
        <is>
          <t>Done</t>
        </is>
      </c>
      <c r="F81" s="2" t="inlineStr">
        <is>
          <t>coral-receipt-bulk.md:80</t>
        </is>
      </c>
      <c r="G81" s="2" t="inlineStr"/>
    </row>
    <row r="82">
      <c r="A82" s="2" t="inlineStr">
        <is>
          <t>BTW-LINE-INCL-CHECKBOX</t>
        </is>
      </c>
      <c r="B82" s="3" t="inlineStr">
        <is>
          <t>two parts, UI + calc:</t>
        </is>
      </c>
      <c r="C82" s="2" t="inlineStr">
        <is>
          <t>Triage / core</t>
        </is>
      </c>
      <c r="D82" s="7" t="inlineStr">
        <is>
          <t>P1</t>
        </is>
      </c>
      <c r="E82" s="2" t="inlineStr">
        <is>
          <t>Open</t>
        </is>
      </c>
      <c r="F82" s="2" t="inlineStr">
        <is>
          <t>ground-zero-triage.md:502</t>
        </is>
      </c>
      <c r="G82" s="2" t="inlineStr"/>
    </row>
    <row r="83">
      <c r="A83" s="2" t="inlineStr">
        <is>
          <t>BUILD-TYPECHECK-GATE</t>
        </is>
      </c>
      <c r="B83" s="3" t="inlineStr">
        <is>
          <t>PROCESS: this is the Nth broken-import/undefined-component crash that passed a green build (useEffect, submitLateEntry, W("db-clients"), now #130). The build is NOT failing on unresolved/typed-wrong imports. Enable blocking typecheck on imports (remove typescript.ignoreBuildErrors / add a CI tsc ...</t>
        </is>
      </c>
      <c r="C83" s="2" t="inlineStr">
        <is>
          <t>Triage / core</t>
        </is>
      </c>
      <c r="D83" s="7" t="inlineStr">
        <is>
          <t>P1</t>
        </is>
      </c>
      <c r="E83" s="5" t="inlineStr">
        <is>
          <t>Done</t>
        </is>
      </c>
      <c r="F83" s="2" t="inlineStr">
        <is>
          <t>ground-zero-triage.md:671</t>
        </is>
      </c>
      <c r="G83" s="2" t="inlineStr"/>
    </row>
    <row r="84">
      <c r="A84" s="2" t="inlineStr">
        <is>
          <t>CLOCK-STATE-STALE-BADGE</t>
        </is>
      </c>
      <c r="B84" s="3" t="inlineStr">
        <is>
          <t>"Clocked In" shows even after clocking OUT (Florin 2026-07-12). NOT just the flashing — the badge's state is wrong. ROOT CAUSE (Planner-traced): src/components/time-tracker/hooks/useClockEntries.ts:42-43 is a per-component hook with isolated local useState and only fetches once on mount (L83-85);...</t>
        </is>
      </c>
      <c r="C84" s="2" t="inlineStr">
        <is>
          <t>Triage / core</t>
        </is>
      </c>
      <c r="D84" s="7" t="inlineStr">
        <is>
          <t>P1</t>
        </is>
      </c>
      <c r="E84" s="5" t="inlineStr">
        <is>
          <t>Done</t>
        </is>
      </c>
      <c r="F84" s="2" t="inlineStr">
        <is>
          <t>ground-zero-triage.md:476</t>
        </is>
      </c>
      <c r="G84" s="2" t="inlineStr"/>
    </row>
    <row r="85">
      <c r="A85" s="2" t="inlineStr">
        <is>
          <t>CONNECT-NEW-FLYOUT</t>
        </is>
      </c>
      <c r="B85" s="3" t="inlineStr">
        <is>
          <t>the Connect-New flyout (in detail modal Connected-Records) only opens on the SECOND click, and its button collides with the modal close button (it was removed from the Connected-Records card). FIX: fix the open-on-first-click (event/portal timing, same family as SELECT-LINGER) and reposition so C...</t>
        </is>
      </c>
      <c r="C85" s="2" t="inlineStr">
        <is>
          <t>Triage / core</t>
        </is>
      </c>
      <c r="D85" s="7" t="inlineStr">
        <is>
          <t>P1</t>
        </is>
      </c>
      <c r="E85" s="5" t="inlineStr">
        <is>
          <t>Done</t>
        </is>
      </c>
      <c r="F85" s="2" t="inlineStr">
        <is>
          <t>ground-zero-triage.md:1147</t>
        </is>
      </c>
      <c r="G85" s="2" t="inlineStr"/>
    </row>
    <row r="86">
      <c r="A86" s="2" t="inlineStr">
        <is>
          <t>DB-VIEW-PROPSTATE-NOT-STICKING</t>
        </is>
      </c>
      <c r="B86" s="3" t="inlineStr">
        <is>
          <t>column show/hide set in the database header does not persist.</t>
        </is>
      </c>
      <c r="C86" s="2" t="inlineStr">
        <is>
          <t>Triage / core</t>
        </is>
      </c>
      <c r="D86" s="7" t="inlineStr">
        <is>
          <t>P1</t>
        </is>
      </c>
      <c r="E86" s="2" t="inlineStr">
        <is>
          <t>Open</t>
        </is>
      </c>
      <c r="F86" s="2" t="inlineStr">
        <is>
          <t>ground-zero-triage.md:287</t>
        </is>
      </c>
      <c r="G86" s="2" t="inlineStr"/>
    </row>
    <row r="87">
      <c r="A87" s="2" t="inlineStr">
        <is>
          <t>DEDUP-STRICT</t>
        </is>
      </c>
      <c r="B87" s="3" t="inlineStr">
        <is>
          <t>classify an incoming receipt/purchase-invoice against existing records by exact field equality (normalized: trim + case-fold names, canonicalize date to YYYY-MM-DD, strip formatting from the doc number):</t>
        </is>
      </c>
      <c r="C87" s="2" t="inlineStr">
        <is>
          <t>Triage / core</t>
        </is>
      </c>
      <c r="D87" s="7" t="inlineStr">
        <is>
          <t>P1</t>
        </is>
      </c>
      <c r="E87" s="2" t="inlineStr">
        <is>
          <t>Open</t>
        </is>
      </c>
      <c r="F87" s="2" t="inlineStr">
        <is>
          <t>ground-zero-triage.md:602</t>
        </is>
      </c>
      <c r="G87" s="2" t="inlineStr"/>
    </row>
    <row r="88">
      <c r="A88" s="2" t="inlineStr">
        <is>
          <t>ENGINE-CATEGORY-WRAPPERS</t>
        </is>
      </c>
      <c r="B88" s="3" t="inlineStr"/>
      <c r="C88" s="2" t="inlineStr">
        <is>
          <t>Triage / core</t>
        </is>
      </c>
      <c r="D88" s="7" t="inlineStr">
        <is>
          <t>P1</t>
        </is>
      </c>
      <c r="E88" s="2" t="inlineStr">
        <is>
          <t>Open</t>
        </is>
      </c>
      <c r="F88" s="2" t="inlineStr">
        <is>
          <t>ground-zero-triage.md:559</t>
        </is>
      </c>
      <c r="G88" s="2" t="inlineStr"/>
    </row>
    <row r="89">
      <c r="A89" s="2" t="inlineStr">
        <is>
          <t>ENGINE-DND-REBUILD</t>
        </is>
      </c>
      <c r="B89" s="3" t="inlineStr">
        <is>
          <t>replace the DnD foundation of the document engines (quote + invoice; shared QuotationRow/InvoiceRow/FinancialRowRenderer).</t>
        </is>
      </c>
      <c r="C89" s="2" t="inlineStr">
        <is>
          <t>Triage / core</t>
        </is>
      </c>
      <c r="D89" s="7" t="inlineStr">
        <is>
          <t>P1</t>
        </is>
      </c>
      <c r="E89" s="5" t="inlineStr">
        <is>
          <t>Done</t>
        </is>
      </c>
      <c r="F89" s="2" t="inlineStr">
        <is>
          <t>ground-zero-triage.md:573</t>
        </is>
      </c>
      <c r="G89" s="2" t="inlineStr"/>
    </row>
    <row r="90">
      <c r="A90" s="2" t="inlineStr">
        <is>
          <t>EXPENSE-CATEGORY-CONSOLIDATE</t>
        </is>
      </c>
      <c r="B90" s="3" t="inlineStr">
        <is>
          <t>TWO concurrent category systems exist: src/lib/expense-taxonomy.ts (EXPENSE_CATEGORIES/COST_TYPES, used by TicketCaptureModal + PurchaseInvoiceEngine) vs a separate hardcoded category select baked into the db-expenses schema in DatabaseClone.tsx (L294/L419/L440, its own inline options). So the DA...</t>
        </is>
      </c>
      <c r="C90" s="2" t="inlineStr">
        <is>
          <t>Triage / core</t>
        </is>
      </c>
      <c r="D90" s="7" t="inlineStr">
        <is>
          <t>P1</t>
        </is>
      </c>
      <c r="E90" s="2" t="inlineStr">
        <is>
          <t>Open</t>
        </is>
      </c>
      <c r="F90" s="2" t="inlineStr">
        <is>
          <t>ground-zero-triage.md:612</t>
        </is>
      </c>
      <c r="G90" s="2" t="inlineStr"/>
    </row>
    <row r="91">
      <c r="A91" s="2" t="inlineStr">
        <is>
          <t>EXPENSE-CATEGORY-DB-WIRE</t>
        </is>
      </c>
      <c r="B91" s="3" t="inlineStr">
        <is>
          <t>the two-level category→costType selects made it INTO the modal (L912-926, using COST_TYPES) but NOT into the receipt database: the save writes category onto the created page (L73/L360/L409) yet db-expenses has no property to receive/display it → categories vanish. FIX: add category + costType (+ ...</t>
        </is>
      </c>
      <c r="C91" s="2" t="inlineStr">
        <is>
          <t>Triage / core</t>
        </is>
      </c>
      <c r="D91" s="7" t="inlineStr">
        <is>
          <t>P1</t>
        </is>
      </c>
      <c r="E91" s="2" t="inlineStr">
        <is>
          <t>Open</t>
        </is>
      </c>
      <c r="F91" s="2" t="inlineStr">
        <is>
          <t>ground-zero-triage.md:349</t>
        </is>
      </c>
      <c r="G91" s="2" t="inlineStr"/>
    </row>
    <row r="92">
      <c r="A92" s="2" t="inlineStr">
        <is>
          <t>HR-TIMESHEET-APPROVALS</t>
        </is>
      </c>
      <c r="B92" s="3" t="inlineStr">
        <is>
          <t>the HR timesheets submodule must offer the full review actions (currently only reads approvalStatus, no actions): accept / deny a late entry, and accept/deny a non-GPS-bound (off-geofence/manual) entry. This is the review-queue side of CLOCK-APPROVAL. Add per-entry Accept/Deny controls (foreman/o...</t>
        </is>
      </c>
      <c r="C92" s="2" t="inlineStr">
        <is>
          <t>Triage / core</t>
        </is>
      </c>
      <c r="D92" s="7" t="inlineStr">
        <is>
          <t>P1</t>
        </is>
      </c>
      <c r="E92" s="2" t="inlineStr">
        <is>
          <t>Open</t>
        </is>
      </c>
      <c r="F92" s="2" t="inlineStr">
        <is>
          <t>ground-zero-triage.md:634</t>
        </is>
      </c>
      <c r="G92" s="2" t="inlineStr"/>
    </row>
    <row r="93">
      <c r="A93" s="2" t="inlineStr">
        <is>
          <t>HR-TIMESHEET-MANUAL-ADD</t>
        </is>
      </c>
      <c r="B93" s="3" t="inlineStr">
        <is>
          <t>an admin/foreman can manually add a time entry for a workforce member from HR timesheets (fallback when clock-in/out malfunctions): pick member + date + start/stop (+ optional project/note), creates a ClockEntry (flagged manual → pending approval per CLOCK-APPROVAL). Verify: add a manual entry fo...</t>
        </is>
      </c>
      <c r="C93" s="2" t="inlineStr">
        <is>
          <t>Triage / core</t>
        </is>
      </c>
      <c r="D93" s="7" t="inlineStr">
        <is>
          <t>P1</t>
        </is>
      </c>
      <c r="E93" s="2" t="inlineStr">
        <is>
          <t>Open</t>
        </is>
      </c>
      <c r="F93" s="2" t="inlineStr">
        <is>
          <t>ground-zero-triage.md:635</t>
        </is>
      </c>
      <c r="G93" s="2" t="inlineStr"/>
    </row>
    <row r="94">
      <c r="A94" s="2" t="inlineStr">
        <is>
          <t>HR-USER-NAME-RESOLUTION</t>
        </is>
      </c>
      <c r="B94" s="3" t="inlineStr">
        <is>
          <t>HR shows raw user CUIDs and, on the timesheets tab, every clock entry is attributed to "System" (Florin 2026-07-12). TWO surfaces, one class of bug — resolve userId → display name correctly and robustly.</t>
        </is>
      </c>
      <c r="C94" s="2" t="inlineStr">
        <is>
          <t>Triage / core</t>
        </is>
      </c>
      <c r="D94" s="7" t="inlineStr">
        <is>
          <t>P1</t>
        </is>
      </c>
      <c r="E94" s="5" t="inlineStr">
        <is>
          <t>Done</t>
        </is>
      </c>
      <c r="F94" s="2" t="inlineStr">
        <is>
          <t>ground-zero-triage.md:401</t>
        </is>
      </c>
      <c r="G94" s="2" t="inlineStr"/>
    </row>
    <row r="95">
      <c r="A95" s="2" t="inlineStr">
        <is>
          <t>MOBILE-HOME-NOT-WORKHUB</t>
        </is>
      </c>
      <c r="B95" s="3" t="inlineStr">
        <is>
          <t>on the main app on mobile, "Home" routes to WorkHub. Culprit: MobileBottomNav.tsx:20 { id:'workhub', label:'Home', href:'/admin/hr/time-tracker' } → that route redirect('/workhub'). FIX: point mobile Home at the mobile app home (/m, or /admin/dashboard), not the workhub redirect. (Coordinate with...</t>
        </is>
      </c>
      <c r="C95" s="2" t="inlineStr">
        <is>
          <t>Triage / core</t>
        </is>
      </c>
      <c r="D95" s="7" t="inlineStr">
        <is>
          <t>P1</t>
        </is>
      </c>
      <c r="E95" s="2" t="inlineStr">
        <is>
          <t>Open</t>
        </is>
      </c>
      <c r="F95" s="2" t="inlineStr">
        <is>
          <t>ground-zero-triage.md:630</t>
        </is>
      </c>
      <c r="G95" s="2" t="inlineStr"/>
    </row>
    <row r="96">
      <c r="A96" s="2" t="inlineStr">
        <is>
          <t>NOTIF-INCOMING-INVOICE-DEEPLINK</t>
        </is>
      </c>
      <c r="B96" s="3" t="inlineStr">
        <is>
          <t>make the notification open the actual purchase invoice:</t>
        </is>
      </c>
      <c r="C96" s="2" t="inlineStr">
        <is>
          <t>Triage / core</t>
        </is>
      </c>
      <c r="D96" s="7" t="inlineStr">
        <is>
          <t>P1</t>
        </is>
      </c>
      <c r="E96" s="2" t="inlineStr">
        <is>
          <t>Open</t>
        </is>
      </c>
      <c r="F96" s="2" t="inlineStr">
        <is>
          <t>ground-zero-triage.md:492</t>
        </is>
      </c>
      <c r="G96" s="2" t="inlineStr"/>
    </row>
    <row r="97">
      <c r="A97" s="2" t="inlineStr">
        <is>
          <t>OCC-10-INVISIBLE-RESOLVE-BUTTON</t>
        </is>
      </c>
      <c r="B97" s="3" t="inlineStr">
        <is>
          <t>"Resolve &amp; Save" renders but is invisible. GlobalDatabaseSyncer.tsx:270 uses className="bg-brand-600 hover:bg-brand-700 text-white". There is no tailwind.config (Tailwind v4), no brand colour defined in globals.css, and bg-brand-600 occurs exactly once in the whole codebase — here. The class emit...</t>
        </is>
      </c>
      <c r="C97" s="2" t="inlineStr">
        <is>
          <t>Triage / core</t>
        </is>
      </c>
      <c r="D97" s="7" t="inlineStr">
        <is>
          <t>P1</t>
        </is>
      </c>
      <c r="E97" s="5" t="inlineStr">
        <is>
          <t>Done</t>
        </is>
      </c>
      <c r="F97" s="2" t="inlineStr">
        <is>
          <t>ground-zero-triage.md:153</t>
        </is>
      </c>
      <c r="G97" s="2" t="inlineStr"/>
    </row>
    <row r="98">
      <c r="A98" s="2" t="inlineStr">
        <is>
          <t>OCC-2b-FINISH-TAGGING</t>
        </is>
      </c>
      <c r="B98" s="3" t="inlineStr">
        <is>
          <t>OCC-2 only tagged cron-overdue and accountant-export. quote-service.ts (both write sites), payment-plan-service.ts, actions/pages.ts, actions/tasks.ts, api/scan, api/peppol/inbox, api/admin/backfill-peppol, accept-quote, accept-invoice, stripe/webhook, cron/vat-backfill, api/portals/, schema-clea...</t>
        </is>
      </c>
      <c r="C98" s="2" t="inlineStr">
        <is>
          <t>Triage / core</t>
        </is>
      </c>
      <c r="D98" s="7" t="inlineStr">
        <is>
          <t>P1</t>
        </is>
      </c>
      <c r="E98" s="5" t="inlineStr">
        <is>
          <t>Done</t>
        </is>
      </c>
      <c r="F98" s="2" t="inlineStr">
        <is>
          <t>ground-zero-triage.md:124</t>
        </is>
      </c>
      <c r="G98" s="2" t="inlineStr"/>
    </row>
    <row r="99">
      <c r="A99" s="2" t="inlineStr">
        <is>
          <t>OCC-3-FIELD-MERGE</t>
        </is>
      </c>
      <c r="B99" s="3" t="inlineStr">
        <is>
          <t>the high-leverage one; do it in the same pass, not later. Most of these toasts are non-collisions: the cron changed status, you edited betreft.</t>
        </is>
      </c>
      <c r="C99" s="2" t="inlineStr">
        <is>
          <t>Triage / core</t>
        </is>
      </c>
      <c r="D99" s="7" t="inlineStr">
        <is>
          <t>P1</t>
        </is>
      </c>
      <c r="E99" s="2" t="inlineStr">
        <is>
          <t>Open</t>
        </is>
      </c>
      <c r="F99" s="2" t="inlineStr">
        <is>
          <t>ground-zero-triage.md:95</t>
        </is>
      </c>
      <c r="G99" s="2" t="inlineStr"/>
    </row>
    <row r="100">
      <c r="A100" s="2" t="inlineStr">
        <is>
          <t>OCC-4-CONFLICT-UX</t>
        </is>
      </c>
      <c r="B100" s="3" t="inlineStr">
        <is>
          <t>replace the downloads-JSON escape hatch with real recovery.</t>
        </is>
      </c>
      <c r="C100" s="2" t="inlineStr">
        <is>
          <t>Triage / core</t>
        </is>
      </c>
      <c r="D100" s="7" t="inlineStr">
        <is>
          <t>P1</t>
        </is>
      </c>
      <c r="E100" s="2" t="inlineStr">
        <is>
          <t>Open</t>
        </is>
      </c>
      <c r="F100" s="2" t="inlineStr">
        <is>
          <t>ground-zero-triage.md:104</t>
        </is>
      </c>
      <c r="G100" s="2" t="inlineStr"/>
    </row>
    <row r="101">
      <c r="A101" s="2" t="inlineStr">
        <is>
          <t>OCC-4b-COPY</t>
        </is>
      </c>
      <c r="B101" s="3" t="inlineStr">
        <is>
          <t>the dialog shipped (good: Download Backup / Reload Page, no blind reload) but the header still reads "Someone else edited this page while you were working", which is false in the dominant case. Use the lastEditedBy origin now returned at :264: system origin → "This record changed in the backgroun...</t>
        </is>
      </c>
      <c r="C101" s="2" t="inlineStr">
        <is>
          <t>Triage / core</t>
        </is>
      </c>
      <c r="D101" s="7" t="inlineStr">
        <is>
          <t>P1</t>
        </is>
      </c>
      <c r="E101" s="2" t="inlineStr">
        <is>
          <t>Open</t>
        </is>
      </c>
      <c r="F101" s="2" t="inlineStr">
        <is>
          <t>ground-zero-triage.md:125</t>
        </is>
      </c>
      <c r="G101" s="2" t="inlineStr"/>
    </row>
    <row r="102">
      <c r="A102" s="2" t="inlineStr">
        <is>
          <t>PEPPOL-SEND-FIX</t>
        </is>
      </c>
      <c r="B102" s="3" t="inlineStr"/>
      <c r="C102" s="2" t="inlineStr">
        <is>
          <t>Triage / core</t>
        </is>
      </c>
      <c r="D102" s="7" t="inlineStr">
        <is>
          <t>P1</t>
        </is>
      </c>
      <c r="E102" s="5" t="inlineStr">
        <is>
          <t>Done</t>
        </is>
      </c>
      <c r="F102" s="2" t="inlineStr">
        <is>
          <t>ground-zero-triage.md:422</t>
        </is>
      </c>
      <c r="G102" s="2" t="inlineStr"/>
    </row>
    <row r="103">
      <c r="A103" s="2" t="inlineStr">
        <is>
          <t>PORTAL-QUOTE-LINE-TOTAL</t>
        </is>
      </c>
      <c r="B103" s="3" t="inlineStr">
        <is>
          <t>ROOT CAUSE (traced, src/app/[locale]/quote/[id]/QuotationViewer.tsx): the leaf-line row uses the bare block.verkoopPrice — lineTotal = (block.verkoopPrice||0) qty (L115), unit price L131, total L134 — and does NOT recurse into subcomponents. But container totals use the recursive calculateBlockTo...</t>
        </is>
      </c>
      <c r="C103" s="2" t="inlineStr">
        <is>
          <t>Triage / core</t>
        </is>
      </c>
      <c r="D103" s="7" t="inlineStr">
        <is>
          <t>P1</t>
        </is>
      </c>
      <c r="E103" s="2" t="inlineStr">
        <is>
          <t>Open</t>
        </is>
      </c>
      <c r="F103" s="2" t="inlineStr">
        <is>
          <t>ground-zero-triage.md:554</t>
        </is>
      </c>
      <c r="G103" s="2" t="inlineStr"/>
    </row>
    <row r="104">
      <c r="A104" s="2" t="inlineStr">
        <is>
          <t>PROJECT-MODULE</t>
        </is>
      </c>
      <c r="B104" s="3" t="inlineStr">
        <is>
          <t>two parts:</t>
        </is>
      </c>
      <c r="C104" s="2" t="inlineStr">
        <is>
          <t>Triage / core</t>
        </is>
      </c>
      <c r="D104" s="7" t="inlineStr">
        <is>
          <t>P1</t>
        </is>
      </c>
      <c r="E104" s="2" t="inlineStr">
        <is>
          <t>Open</t>
        </is>
      </c>
      <c r="F104" s="2" t="inlineStr">
        <is>
          <t>ground-zero-triage.md:623</t>
        </is>
      </c>
      <c r="G104" s="2" t="inlineStr"/>
    </row>
    <row r="105">
      <c r="A105" s="2" t="inlineStr">
        <is>
          <t>PROJECT-TOTALS-AGGREGATE</t>
        </is>
      </c>
      <c r="B105" s="3" t="inlineStr">
        <is>
          <t>two separate bugs:</t>
        </is>
      </c>
      <c r="C105" s="2" t="inlineStr">
        <is>
          <t>Triage / core</t>
        </is>
      </c>
      <c r="D105" s="7" t="inlineStr">
        <is>
          <t>P1</t>
        </is>
      </c>
      <c r="E105" s="2" t="inlineStr">
        <is>
          <t>Open</t>
        </is>
      </c>
      <c r="F105" s="2" t="inlineStr">
        <is>
          <t>ground-zero-triage.md:593</t>
        </is>
      </c>
      <c r="G105" s="2" t="inlineStr"/>
    </row>
    <row r="106">
      <c r="A106" s="2" t="inlineStr">
        <is>
          <t>RECEIPT-BONNETJE-LINK</t>
        </is>
      </c>
      <c r="B106" s="3" t="inlineStr">
        <is>
          <t>the "Bonnetje" property links are broken (Florin 2026-07-12). DatabaseClone.tsx:460 defines { id:'receiptUrl', name:'Bonnetje', type:'url' }, but TicketCaptureModal stores the raw Blob storage KEY (receiptUrl = uploadRes.key, L307 → L344/364/401/414) into that url property. Since receipts are acc...</t>
        </is>
      </c>
      <c r="C106" s="2" t="inlineStr">
        <is>
          <t>Triage / core</t>
        </is>
      </c>
      <c r="D106" s="7" t="inlineStr">
        <is>
          <t>P1</t>
        </is>
      </c>
      <c r="E106" s="5" t="inlineStr">
        <is>
          <t>Done</t>
        </is>
      </c>
      <c r="F106" s="2" t="inlineStr">
        <is>
          <t>ground-zero-triage.md:357</t>
        </is>
      </c>
      <c r="G106" s="2" t="inlineStr"/>
    </row>
    <row r="107">
      <c r="A107" s="2" t="inlineStr">
        <is>
          <t>RECORD-DETAIL-PASTE-FOCUS</t>
        </is>
      </c>
      <c r="B107" s="3" t="inlineStr">
        <is>
          <t>paste always lands in the NAME/title property, no matter where you click (Florin: even while creating a journal entry, the clipboard pastes into the name). Data-corruption risk. ROOT CAUSE (traced): there is NO paste handler anywhere — it's a focus-stealing bug. PageModal.tsx L588-600 does docume...</t>
        </is>
      </c>
      <c r="C107" s="2" t="inlineStr">
        <is>
          <t>Triage / core</t>
        </is>
      </c>
      <c r="D107" s="7" t="inlineStr">
        <is>
          <t>P1</t>
        </is>
      </c>
      <c r="E107" s="2" t="inlineStr">
        <is>
          <t>Open</t>
        </is>
      </c>
      <c r="F107" s="2" t="inlineStr">
        <is>
          <t>ground-zero-triage.md:586</t>
        </is>
      </c>
      <c r="G107" s="2" t="inlineStr"/>
    </row>
    <row r="108">
      <c r="A108" s="2" t="inlineStr">
        <is>
          <t>SCAN-DATA-PERSIST</t>
        </is>
      </c>
      <c r="B108" s="3" t="inlineStr">
        <is>
          <t>the modal scans, then LOSES both the extracted data AND the scanned document — Florin has to re-upload the ticket and redo fields manually. Two things must persist through review→save:</t>
        </is>
      </c>
      <c r="C108" s="2" t="inlineStr">
        <is>
          <t>Triage / core</t>
        </is>
      </c>
      <c r="D108" s="7" t="inlineStr">
        <is>
          <t>P1</t>
        </is>
      </c>
      <c r="E108" s="2" t="inlineStr">
        <is>
          <t>Open</t>
        </is>
      </c>
      <c r="F108" s="2" t="inlineStr">
        <is>
          <t>ground-zero-triage.md:350</t>
        </is>
      </c>
      <c r="G108" s="2" t="inlineStr"/>
    </row>
    <row r="109">
      <c r="A109" s="2" t="inlineStr">
        <is>
          <t>SCAN-MOBILE-CAMERA-FALLBACK</t>
        </is>
      </c>
      <c r="B109" s="3" t="inlineStr">
        <is>
          <t>a phone-camera photo of a receipt must always be salvageable: Florin shot a receipt today, the capture was low quality, OCR read it poorly, and he ended up deleting it. OCR on a camera photo will NEVER be perfect — so the flow must degrade to manual correction, never dead-end. FIX: (1) confirm th...</t>
        </is>
      </c>
      <c r="C109" s="2" t="inlineStr">
        <is>
          <t>Triage / core</t>
        </is>
      </c>
      <c r="D109" s="7" t="inlineStr">
        <is>
          <t>P1</t>
        </is>
      </c>
      <c r="E109" s="2" t="inlineStr">
        <is>
          <t>Open</t>
        </is>
      </c>
      <c r="F109" s="2" t="inlineStr">
        <is>
          <t>ground-zero-triage.md:354</t>
        </is>
      </c>
      <c r="G109" s="2" t="inlineStr"/>
    </row>
    <row r="110">
      <c r="A110" s="2" t="inlineStr">
        <is>
          <t>SCAN-RECEIPT-TOTAL-NOT-NETTO</t>
        </is>
      </c>
      <c r="B110" s="3" t="inlineStr">
        <is>
          <t>on receipts the extraction grabs the netto (subtotal ex-VAT) and skips the totaal, so the amount is wrong (Florin 2026-07-12). On a kassabon/ticket the correct amount is ALWAYS the final TOTAAL / TE BETALEN / TOTAL paid (incl VAT), never a netto/subtotal line. FIX: in TICKET_SYSTEM_PROMPT (and th...</t>
        </is>
      </c>
      <c r="C110" s="2" t="inlineStr">
        <is>
          <t>Triage / core</t>
        </is>
      </c>
      <c r="D110" s="7" t="inlineStr">
        <is>
          <t>P1</t>
        </is>
      </c>
      <c r="E110" s="5" t="inlineStr">
        <is>
          <t>Done</t>
        </is>
      </c>
      <c r="F110" s="2" t="inlineStr">
        <is>
          <t>ground-zero-triage.md:355</t>
        </is>
      </c>
      <c r="G110" s="2" t="inlineStr"/>
    </row>
    <row r="111">
      <c r="A111" s="2" t="inlineStr">
        <is>
          <t>SCHED-ABSENCE-IN-GRID</t>
        </is>
      </c>
      <c r="B111" s="3" t="inlineStr">
        <is>
          <t>two gaps on absence: (1) scheduling an absence exists (scheduleType 'leave') — verify it works; (2) an approved LEAVE REQUEST (from the workforce time-off flow) does NOT appear in the scheduler. FIX: the scheduler grid must render approved absences/leave — read approved time-off/leave records for...</t>
        </is>
      </c>
      <c r="C111" s="2" t="inlineStr">
        <is>
          <t>Triage / core</t>
        </is>
      </c>
      <c r="D111" s="7" t="inlineStr">
        <is>
          <t>P1</t>
        </is>
      </c>
      <c r="E111" s="2" t="inlineStr">
        <is>
          <t>Open</t>
        </is>
      </c>
      <c r="F111" s="2" t="inlineStr">
        <is>
          <t>ground-zero-triage.md:633</t>
        </is>
      </c>
      <c r="G111" s="2" t="inlineStr"/>
    </row>
    <row r="112">
      <c r="A112" s="2" t="inlineStr">
        <is>
          <t>SCHED-CONVERT-TO-RECURRING</t>
        </is>
      </c>
      <c r="B112" s="3" t="inlineStr">
        <is>
          <t>(Florin request 1) — from an existing shift's edit dialog: "Make recurring" → pattern picker (reuse the existing selectedDays × recurringWeeks UI) → generates the future occurrences and stamps them plus the original with a shared seriesId. Show a preview count ("this will create 12 shifts") befor...</t>
        </is>
      </c>
      <c r="C112" s="2" t="inlineStr">
        <is>
          <t>Triage / core</t>
        </is>
      </c>
      <c r="D112" s="7" t="inlineStr">
        <is>
          <t>P1</t>
        </is>
      </c>
      <c r="E112" s="2" t="inlineStr">
        <is>
          <t>Open</t>
        </is>
      </c>
      <c r="F112" s="2" t="inlineStr">
        <is>
          <t>ground-zero-triage.md:338</t>
        </is>
      </c>
      <c r="G112" s="2" t="inlineStr"/>
    </row>
    <row r="113">
      <c r="A113" s="2" t="inlineStr">
        <is>
          <t>SCHED-DATE-RANGE</t>
        </is>
      </c>
      <c r="B113" s="3" t="inlineStr">
        <is>
          <t>(Florin request 2) — date-RANGE selection for both leave and shift creation. Verified today: leave writes a single shift_date (:485), so a week's holiday takes seven manual entries — that's the workaround Florin is (rightly) objecting to.</t>
        </is>
      </c>
      <c r="C113" s="2" t="inlineStr">
        <is>
          <t>Triage / core</t>
        </is>
      </c>
      <c r="D113" s="7" t="inlineStr">
        <is>
          <t>P1</t>
        </is>
      </c>
      <c r="E113" s="2" t="inlineStr">
        <is>
          <t>Open</t>
        </is>
      </c>
      <c r="F113" s="2" t="inlineStr">
        <is>
          <t>ground-zero-triage.md:339</t>
        </is>
      </c>
      <c r="G113" s="2" t="inlineStr"/>
    </row>
    <row r="114">
      <c r="A114" s="2" t="inlineStr">
        <is>
          <t>SCHED-MULTI-RECUR-VERIFY</t>
        </is>
      </c>
      <c r="B114" s="3" t="inlineStr">
        <is>
          <t>multi-assign, recurring, AND leave-scheduling already exist in CreateShiftForm.tsx (scheduleType: single|recurring|leave L175, recurringWeeks L166, worker checkboxes L795, userIds array → "across N employee(s)" L481). Florin reports the multi-member checkbox is gone/not showing and wants recurrin...</t>
        </is>
      </c>
      <c r="C114" s="2" t="inlineStr">
        <is>
          <t>Triage / core</t>
        </is>
      </c>
      <c r="D114" s="7" t="inlineStr">
        <is>
          <t>P1</t>
        </is>
      </c>
      <c r="E114" s="2" t="inlineStr">
        <is>
          <t>Open</t>
        </is>
      </c>
      <c r="F114" s="2" t="inlineStr">
        <is>
          <t>ground-zero-triage.md:632</t>
        </is>
      </c>
      <c r="G114" s="2" t="inlineStr"/>
    </row>
    <row r="115">
      <c r="A115" s="2" t="inlineStr">
        <is>
          <t>SIDEBAR-ORDER-HARDCODE</t>
        </is>
      </c>
      <c r="B115" s="3" t="inlineStr">
        <is>
          <t>two edits, both in the sidebar plumbing:</t>
        </is>
      </c>
      <c r="C115" s="2" t="inlineStr">
        <is>
          <t>Triage / core</t>
        </is>
      </c>
      <c r="D115" s="7" t="inlineStr">
        <is>
          <t>P1</t>
        </is>
      </c>
      <c r="E115" s="2" t="inlineStr">
        <is>
          <t>Open</t>
        </is>
      </c>
      <c r="F115" s="2" t="inlineStr">
        <is>
          <t>ground-zero-triage.md:518</t>
        </is>
      </c>
      <c r="G115" s="2" t="inlineStr"/>
    </row>
    <row r="116">
      <c r="A116" s="2" t="inlineStr">
        <is>
          <t>TASKS-BACKLINK-REDRAW</t>
        </is>
      </c>
      <c r="B116" s="3" t="inlineStr">
        <is>
          <t>⟲ — task backlink → full UI redraw twice + sidebar reset flicker. Measure: the backlink nav forces a full remount + the sidebar store re-hydrates (ties SIDEBAR-MIGRATE). Make the backlink a scoped navigation (no full app remount); stabilize sidebar hydration so it doesn't flicker. TASKS-BACKLINK-...</t>
        </is>
      </c>
      <c r="C116" s="2" t="inlineStr">
        <is>
          <t>Triage / core</t>
        </is>
      </c>
      <c r="D116" s="7" t="inlineStr">
        <is>
          <t>P1</t>
        </is>
      </c>
      <c r="E116" s="5" t="inlineStr">
        <is>
          <t>Done</t>
        </is>
      </c>
      <c r="F116" s="2" t="inlineStr">
        <is>
          <t>ground-zero-triage.md:1164</t>
        </is>
      </c>
      <c r="G116" s="2" t="inlineStr"/>
    </row>
    <row r="117">
      <c r="A117" s="2" t="inlineStr">
        <is>
          <t>TASKS-DATEPICKER</t>
        </is>
      </c>
      <c r="B117" s="3" t="inlineStr">
        <is>
          <t>task date opens the SYSTEM calendar, not the custom date picker (DATE-LOC). Wire the custom localized picker. TASKS-DATEPICKER: use custom localized date picker in tasks.</t>
        </is>
      </c>
      <c r="C117" s="2" t="inlineStr">
        <is>
          <t>Triage / core</t>
        </is>
      </c>
      <c r="D117" s="7" t="inlineStr">
        <is>
          <t>P1</t>
        </is>
      </c>
      <c r="E117" s="5" t="inlineStr">
        <is>
          <t>Done</t>
        </is>
      </c>
      <c r="F117" s="2" t="inlineStr">
        <is>
          <t>ground-zero-triage.md:1163</t>
        </is>
      </c>
      <c r="G117" s="2" t="inlineStr"/>
    </row>
    <row r="118">
      <c r="A118" s="2" t="inlineStr">
        <is>
          <t>TASKS-FLYOUT-CLIP</t>
        </is>
      </c>
      <c r="B118" s="3" t="inlineStr">
        <is>
          <t>⟲ — a max-height clips flyouts in Tasks → can't set status/date on a new task (cutting-mask / portal class). Portal the status/date flyouts to body (SELECT-PORTAL pattern); remove the clipping max-height. VERIFY: set status + date on a new task. TASKS-FLYOUT-CLIP: portal task status/date flyouts ...</t>
        </is>
      </c>
      <c r="C118" s="2" t="inlineStr">
        <is>
          <t>Triage / core</t>
        </is>
      </c>
      <c r="D118" s="7" t="inlineStr">
        <is>
          <t>P1</t>
        </is>
      </c>
      <c r="E118" s="5" t="inlineStr">
        <is>
          <t>Done</t>
        </is>
      </c>
      <c r="F118" s="2" t="inlineStr">
        <is>
          <t>ground-zero-triage.md:1162</t>
        </is>
      </c>
      <c r="G118" s="2" t="inlineStr"/>
    </row>
    <row r="119">
      <c r="A119" s="2" t="inlineStr">
        <is>
          <t>VRIJETEKST-EDITOR-RESET</t>
        </is>
      </c>
      <c r="B119" s="3" t="inlineStr">
        <is>
          <t>the free-text rich editor loses what you type after ~3s, then a second attempt sticks. ROOT CAUSE (traced, QuotationRow.tsx L735-743): the contentEditable div binds dangerouslySetInnerHTML={{ __html: block.content }} (re-applied on EVERY render) but only commits via onBlur — so mid-typing the con...</t>
        </is>
      </c>
      <c r="C119" s="2" t="inlineStr">
        <is>
          <t>Triage / core</t>
        </is>
      </c>
      <c r="D119" s="7" t="inlineStr">
        <is>
          <t>P1</t>
        </is>
      </c>
      <c r="E119" s="2" t="inlineStr">
        <is>
          <t>Open</t>
        </is>
      </c>
      <c r="F119" s="2" t="inlineStr">
        <is>
          <t>ground-zero-triage.md:528</t>
        </is>
      </c>
      <c r="G119" s="2" t="inlineStr"/>
    </row>
    <row r="120">
      <c r="A120" s="2" t="inlineStr">
        <is>
          <t>WORKHUB-SNAKE-CASE-LEGACY</t>
        </is>
      </c>
      <c r="B120" s="3" t="inlineStr">
        <is>
          <t>153 snake_case leftovers across components/time-tracker/ (shift_start, shift_end, shift_date, clock_entry_id, user_id, full_name) from the pre-Prisma (Supabase) era. Prisma returns camelCase, so these read undefined. Confirmed live: MySchedule.tsx:77 renders shift.shift_start/shift.shift_end (bla...</t>
        </is>
      </c>
      <c r="C120" s="2" t="inlineStr">
        <is>
          <t>Triage / core</t>
        </is>
      </c>
      <c r="D120" s="7" t="inlineStr">
        <is>
          <t>P1</t>
        </is>
      </c>
      <c r="E120" s="2" t="inlineStr">
        <is>
          <t>Open</t>
        </is>
      </c>
      <c r="F120" s="2" t="inlineStr">
        <is>
          <t>ground-zero-triage.md:250</t>
        </is>
      </c>
      <c r="G120" s="2" t="inlineStr"/>
    </row>
    <row r="121">
      <c r="A121" s="2" t="inlineStr">
        <is>
          <t>—</t>
        </is>
      </c>
      <c r="B121" s="3" t="inlineStr">
        <is>
          <t>WORKHUB-CLOCK-BTN-STYLE (corrected spec) 🟧 — the flashing red clock button "is back". It never regressed in React; the component fix was defeated by CSS specificity.</t>
        </is>
      </c>
      <c r="C121" s="2" t="inlineStr">
        <is>
          <t>Triage / core</t>
        </is>
      </c>
      <c r="D121" s="7" t="inlineStr">
        <is>
          <t>P1</t>
        </is>
      </c>
      <c r="E121" s="2" t="inlineStr">
        <is>
          <t>Open</t>
        </is>
      </c>
      <c r="F121" s="2" t="inlineStr">
        <is>
          <t>ground-zero-triage.md:251</t>
        </is>
      </c>
      <c r="G121" s="2" t="inlineStr"/>
    </row>
    <row r="122">
      <c r="A122" s="2" t="inlineStr">
        <is>
          <t>—</t>
        </is>
      </c>
      <c r="B122" s="3" t="inlineStr">
        <is>
          <t>SCHED-SERIES-ID — prerequisite for both requested features. ScheduledShift has no seriesId/parentId (verified against the Prisma model); a recurring batch is just N independent rows (CreateShiftForm.tsx:447 loops weeks × selected weekdays × users). Consequences: you cannot edit or delete a series...</t>
        </is>
      </c>
      <c r="C122" s="2" t="inlineStr">
        <is>
          <t>Triage / core</t>
        </is>
      </c>
      <c r="D122" s="7" t="inlineStr">
        <is>
          <t>P1</t>
        </is>
      </c>
      <c r="E122" s="2" t="inlineStr">
        <is>
          <t>Open</t>
        </is>
      </c>
      <c r="F122" s="2" t="inlineStr">
        <is>
          <t>ground-zero-triage.md:337</t>
        </is>
      </c>
      <c r="G122" s="2" t="inlineStr"/>
    </row>
    <row r="123">
      <c r="A123" s="2" t="inlineStr">
        <is>
          <t>—</t>
        </is>
      </c>
      <c r="B123" s="3" t="inlineStr">
        <is>
          <t>RECEIPT-BONNETJE→ATTACHMENTS 🟧 (REVISES RECEIPT-BONNETJE-LINK) — Florin: the Bonnetje url column (DatabaseClone L460, also 'Origineel Document' L405, hardcoded → localize if kept) never holds a viable link, AND the attachments panel is empty for imports. FIX: replace the receiptUrl url-column wit...</t>
        </is>
      </c>
      <c r="C123" s="2" t="inlineStr">
        <is>
          <t>Triage / core</t>
        </is>
      </c>
      <c r="D123" s="7" t="inlineStr">
        <is>
          <t>P1</t>
        </is>
      </c>
      <c r="E123" s="2" t="inlineStr">
        <is>
          <t>Open</t>
        </is>
      </c>
      <c r="F123" s="2" t="inlineStr">
        <is>
          <t>ground-zero-triage.md:613</t>
        </is>
      </c>
      <c r="G123" s="2" t="inlineStr"/>
    </row>
    <row r="124">
      <c r="A124" s="2" t="inlineStr">
        <is>
          <t>—</t>
        </is>
      </c>
      <c r="B124" s="3" t="inlineStr">
        <is>
          <t>SCAN-MERCHANT→TITLE 🟧 (REFINES SCAN-MERCHANT-PREFILL) — the shop/supplier field is a select that shows nothing when the scanned name isn't an existing supplier; and lately every imported receipt gets a blank/"Unnamed Expense" name (TicketCaptureModal L293/L330/L356: title = form.merchant || 'Unna...</t>
        </is>
      </c>
      <c r="C124" s="2" t="inlineStr">
        <is>
          <t>Triage / core</t>
        </is>
      </c>
      <c r="D124" s="7" t="inlineStr">
        <is>
          <t>P1</t>
        </is>
      </c>
      <c r="E124" s="2" t="inlineStr">
        <is>
          <t>Open</t>
        </is>
      </c>
      <c r="F124" s="2" t="inlineStr">
        <is>
          <t>ground-zero-triage.md:614</t>
        </is>
      </c>
      <c r="G124" s="2" t="inlineStr"/>
    </row>
    <row r="125">
      <c r="A125" s="2" t="inlineStr">
        <is>
          <t>AUTO-ACCOUNTANT-DELIVER</t>
        </is>
      </c>
      <c r="B125" s="3" t="inlineStr">
        <is>
          <t>(U5) 🟨 — already designed in coral-accountant-sharing.md Path B: on a sent invoice, auto-copy to the accountant (Peppol or email). Settings: enabled, accountant contact + channel. Just surface its config in the Automations panel.</t>
        </is>
      </c>
      <c r="C125" s="2" t="inlineStr">
        <is>
          <t>Automations</t>
        </is>
      </c>
      <c r="D125" s="8" t="inlineStr">
        <is>
          <t>P2</t>
        </is>
      </c>
      <c r="E125" s="2" t="inlineStr">
        <is>
          <t>Open</t>
        </is>
      </c>
      <c r="F125" s="2" t="inlineStr">
        <is>
          <t>coral-automations-study.md:75</t>
        </is>
      </c>
      <c r="G125" s="2" t="inlineStr"/>
    </row>
    <row r="126">
      <c r="A126" s="2" t="inlineStr">
        <is>
          <t>AUTO-INVOICE-REMINDERS</t>
        </is>
      </c>
      <c r="B126" s="3" t="inlineStr">
        <is>
          <t>(U1) 🟨 — on/off + cadence (e.g. remind at +7/+14/+30 days overdue) + tone/template + stop-on-payment. Builds on the existing invoice-overdue/reminders crons — this adds the tenant-configurable schedule + copy on top. Settings: enabled, day offsets, template, cc self.</t>
        </is>
      </c>
      <c r="C126" s="2" t="inlineStr">
        <is>
          <t>Automations</t>
        </is>
      </c>
      <c r="D126" s="8" t="inlineStr">
        <is>
          <t>P2</t>
        </is>
      </c>
      <c r="E126" s="2" t="inlineStr">
        <is>
          <t>Open</t>
        </is>
      </c>
      <c r="F126" s="2" t="inlineStr">
        <is>
          <t>coral-automations-study.md:73</t>
        </is>
      </c>
      <c r="G126" s="2" t="inlineStr"/>
    </row>
    <row r="127">
      <c r="A127" s="2" t="inlineStr">
        <is>
          <t>AUTO-QUOTE-FOLLOWUP</t>
        </is>
      </c>
      <c r="B127" s="3" t="inlineStr">
        <is>
          <t>(U2) 🟨 — "if a quote isn't accepted/viewed within N days → send a follow-up." Settings: enabled, N days, follow-up template, max follow-ups. Recovers stale quotes. (No portal dependency for proposals per DOC-PROPOSAL; quotes only.)</t>
        </is>
      </c>
      <c r="C127" s="2" t="inlineStr">
        <is>
          <t>Automations</t>
        </is>
      </c>
      <c r="D127" s="8" t="inlineStr">
        <is>
          <t>P2</t>
        </is>
      </c>
      <c r="E127" s="2" t="inlineStr">
        <is>
          <t>Open</t>
        </is>
      </c>
      <c r="F127" s="2" t="inlineStr">
        <is>
          <t>coral-automations-study.md:74</t>
        </is>
      </c>
      <c r="G127" s="2" t="inlineStr"/>
    </row>
    <row r="128">
      <c r="A128" s="2" t="inlineStr">
        <is>
          <t>AUTO-SCHEDULED-DIGEST</t>
        </is>
      </c>
      <c r="B128" s="3" t="inlineStr">
        <is>
          <t>(U8) 🟨 — recurring summary email (weekly project/financial digest, or "open items"). Settings: enabled, frequency, recipients, contents. Cheapest to build — leans on the existing scheduled-tasks infra; high perceived value.</t>
        </is>
      </c>
      <c r="C128" s="2" t="inlineStr">
        <is>
          <t>Automations</t>
        </is>
      </c>
      <c r="D128" s="8" t="inlineStr">
        <is>
          <t>P2</t>
        </is>
      </c>
      <c r="E128" s="2" t="inlineStr">
        <is>
          <t>Open</t>
        </is>
      </c>
      <c r="F128" s="2" t="inlineStr">
        <is>
          <t>coral-automations-study.md:76</t>
        </is>
      </c>
      <c r="G128" s="2" t="inlineStr"/>
    </row>
    <row r="129">
      <c r="A129" s="2" t="inlineStr">
        <is>
          <t>CAL-5</t>
        </is>
      </c>
      <c r="B129" s="3" t="inlineStr">
        <is>
          <t>add sourceType/sourceId to Event (additive); an "Add to calendar" affordance on date-bearing records creates a linked Event (syncable to Google). Implement the SOURCE-WINS mirror: source date change updates the Event, source delete removes it. Verify: change an invoice due date → the linked event...</t>
        </is>
      </c>
      <c r="C129" s="2" t="inlineStr">
        <is>
          <t>Calendar</t>
        </is>
      </c>
      <c r="D129" s="8" t="inlineStr">
        <is>
          <t>P2</t>
        </is>
      </c>
      <c r="E129" s="2" t="inlineStr">
        <is>
          <t>Open</t>
        </is>
      </c>
      <c r="F129" s="2" t="inlineStr">
        <is>
          <t>coral-calendar.md:69</t>
        </is>
      </c>
      <c r="G129" s="2" t="inlineStr"/>
    </row>
    <row r="130">
      <c r="A130" s="2" t="inlineStr">
        <is>
          <t>CAL-6</t>
        </is>
      </c>
      <c r="B130" s="3" t="inlineStr">
        <is>
          <t>drag a shift on the calendar → writes ScheduledShift. Deliberately last: dragging into a write path before the aggregation is proven risks corrupting the schedule. Projections other than shifts stay read-only permanently.</t>
        </is>
      </c>
      <c r="C130" s="2" t="inlineStr">
        <is>
          <t>Calendar</t>
        </is>
      </c>
      <c r="D130" s="8" t="inlineStr">
        <is>
          <t>P2</t>
        </is>
      </c>
      <c r="E130" s="2" t="inlineStr">
        <is>
          <t>Open</t>
        </is>
      </c>
      <c r="F130" s="2" t="inlineStr">
        <is>
          <t>coral-calendar.md:70</t>
        </is>
      </c>
      <c r="G130" s="2" t="inlineStr"/>
    </row>
    <row r="131">
      <c r="A131" s="2" t="inlineStr">
        <is>
          <t>ATT-5</t>
        </is>
      </c>
      <c r="B131" s="3" t="inlineStr">
        <is>
          <t>(Florin) — any invoice already sent with annexes selected went out with the PDF only. Worth identifying and re-sending.</t>
        </is>
      </c>
      <c r="C131" s="2" t="inlineStr">
        <is>
          <t>Email attachments</t>
        </is>
      </c>
      <c r="D131" s="8" t="inlineStr">
        <is>
          <t>P2</t>
        </is>
      </c>
      <c r="E131" s="5" t="inlineStr">
        <is>
          <t>Done</t>
        </is>
      </c>
      <c r="F131" s="2" t="inlineStr">
        <is>
          <t>coral-email-attachments-bug.md:61</t>
        </is>
      </c>
      <c r="G131" s="2" t="inlineStr"/>
    </row>
    <row r="132">
      <c r="A132" s="2" t="inlineStr">
        <is>
          <t>PROT-7</t>
        </is>
      </c>
      <c r="B132" s="3" t="inlineStr">
        <is>
          <t>close the loop. Because the ask is for two documents, track them separately: creditNoteReceived and correctedInvoiceReceived are independent flags (they arrive at different times), plus withdrawn / accepted after all. A protest is only fully resolved when BOTH have arrived — a credit note alone l...</t>
        </is>
      </c>
      <c r="C132" s="2" t="inlineStr">
        <is>
          <t>Finance · Invoice protest</t>
        </is>
      </c>
      <c r="D132" s="8" t="inlineStr">
        <is>
          <t>P2</t>
        </is>
      </c>
      <c r="E132" s="2" t="inlineStr">
        <is>
          <t>Open</t>
        </is>
      </c>
      <c r="F132" s="2" t="inlineStr">
        <is>
          <t>coral-invoice-protest.md:32</t>
        </is>
      </c>
      <c r="G132" s="2" t="inlineStr"/>
    </row>
    <row r="133">
      <c r="A133" s="2" t="inlineStr">
        <is>
          <t>PROT-8</t>
        </is>
      </c>
      <c r="B133" s="3" t="inlineStr">
        <is>
          <t>if a protest has no resolution after N days (setting, default 14), surface it in the notifications/digest. Rides the automations work (coral-automations-study.md — this is a natural AUTO- rule).</t>
        </is>
      </c>
      <c r="C133" s="2" t="inlineStr">
        <is>
          <t>Finance · Invoice protest</t>
        </is>
      </c>
      <c r="D133" s="8" t="inlineStr">
        <is>
          <t>P2</t>
        </is>
      </c>
      <c r="E133" s="2" t="inlineStr">
        <is>
          <t>Open</t>
        </is>
      </c>
      <c r="F133" s="2" t="inlineStr">
        <is>
          <t>coral-invoice-protest.md:33</t>
        </is>
      </c>
      <c r="G133" s="2" t="inlineStr"/>
    </row>
    <row r="134">
      <c r="A134" s="2" t="inlineStr">
        <is>
          <t>PI-ART-4</t>
        </is>
      </c>
      <c r="B134" s="3" t="inlineStr">
        <is>
          <t>record each observed purchase price against the article (date, supplier, price, source invoice id). Even a simple append-only list turns the library into a price-trend record — you can then see that a supplier has raised a price three times this year, which is exactly the sort of thing that's inv...</t>
        </is>
      </c>
      <c r="C134" s="2" t="inlineStr">
        <is>
          <t>Finance · Purchase invoices</t>
        </is>
      </c>
      <c r="D134" s="8" t="inlineStr">
        <is>
          <t>P2</t>
        </is>
      </c>
      <c r="E134" s="2" t="inlineStr">
        <is>
          <t>Open</t>
        </is>
      </c>
      <c r="F134" s="2" t="inlineStr">
        <is>
          <t>coral-purchase-invoice-lines.md:39</t>
        </is>
      </c>
      <c r="G134" s="2" t="inlineStr"/>
    </row>
    <row r="135">
      <c r="A135" s="2" t="inlineStr">
        <is>
          <t>PI-ART-5</t>
        </is>
      </c>
      <c r="B135" s="3" t="inlineStr">
        <is>
          <t>an invoice-level action you trigger: "Match all lines" → shows every line with its suggested match (or "new"), you confirm/adjust in one pass, then it applies. On a 40-line builders'-merchant invoice, per-line dialogs are unusable. Never runs automatically on import (decided).</t>
        </is>
      </c>
      <c r="C135" s="2" t="inlineStr">
        <is>
          <t>Finance · Purchase invoices</t>
        </is>
      </c>
      <c r="D135" s="8" t="inlineStr">
        <is>
          <t>P2</t>
        </is>
      </c>
      <c r="E135" s="2" t="inlineStr">
        <is>
          <t>Open</t>
        </is>
      </c>
      <c r="F135" s="2" t="inlineStr">
        <is>
          <t>coral-purchase-invoice-lines.md:40</t>
        </is>
      </c>
      <c r="G135" s="2" t="inlineStr"/>
    </row>
    <row r="136">
      <c r="A136" s="2" t="inlineStr">
        <is>
          <t>PI-LINES-3</t>
        </is>
      </c>
      <c r="B136" s="3" t="inlineStr">
        <is>
          <t>for existing invoices with invoiceLines but no financial-row blocks, materialise blocks once. Additive only; dry-run + count first (pd.md). Not strictly needed once PI-LINES-1 lands, since the shared reader covers them.</t>
        </is>
      </c>
      <c r="C136" s="2" t="inlineStr">
        <is>
          <t>Finance · Purchase invoices</t>
        </is>
      </c>
      <c r="D136" s="8" t="inlineStr">
        <is>
          <t>P2</t>
        </is>
      </c>
      <c r="E136" s="2" t="inlineStr">
        <is>
          <t>Open</t>
        </is>
      </c>
      <c r="F136" s="2" t="inlineStr">
        <is>
          <t>coral-purchase-invoice-lines.md:21</t>
        </is>
      </c>
      <c r="G136" s="2" t="inlineStr"/>
    </row>
    <row r="137">
      <c r="A137" s="2" t="inlineStr">
        <is>
          <t>PO-IN</t>
        </is>
      </c>
      <c r="B137" s="3" t="inlineStr">
        <is>
          <t>new document type + database (db-po-in, "Client Orders"):</t>
        </is>
      </c>
      <c r="C137" s="2" t="inlineStr">
        <is>
          <t>Finance · Purchase orders</t>
        </is>
      </c>
      <c r="D137" s="8" t="inlineStr">
        <is>
          <t>P2</t>
        </is>
      </c>
      <c r="E137" s="2" t="inlineStr">
        <is>
          <t>Open</t>
        </is>
      </c>
      <c r="F137" s="2" t="inlineStr">
        <is>
          <t>coral-purchase-orders.md:29</t>
        </is>
      </c>
      <c r="G137" s="2" t="inlineStr"/>
    </row>
    <row r="138">
      <c r="A138" s="2" t="inlineStr">
        <is>
          <t>PO-OUT</t>
        </is>
      </c>
      <c r="B138" s="3" t="inlineStr">
        <is>
          <t>new document type + database (db-po-out, "Purchase Orders"):</t>
        </is>
      </c>
      <c r="C138" s="2" t="inlineStr">
        <is>
          <t>Finance · Purchase orders</t>
        </is>
      </c>
      <c r="D138" s="8" t="inlineStr">
        <is>
          <t>P2</t>
        </is>
      </c>
      <c r="E138" s="2" t="inlineStr">
        <is>
          <t>Open</t>
        </is>
      </c>
      <c r="F138" s="2" t="inlineStr">
        <is>
          <t>coral-purchase-orders.md:21</t>
        </is>
      </c>
      <c r="G138" s="2" t="inlineStr"/>
    </row>
    <row r="139">
      <c r="A139" s="2" t="inlineStr">
        <is>
          <t>PROJ-DOC-ROLLUP</t>
        </is>
      </c>
      <c r="B139" s="3" t="inlineStr">
        <is>
          <t>every document type relates to a project and rolls up in the project detail. Extends PROJECT-TOTALS-AGGREGATE (which currently sums quotes + invoices) with the commitment layer:</t>
        </is>
      </c>
      <c r="C139" s="2" t="inlineStr">
        <is>
          <t>Finance · Purchase orders</t>
        </is>
      </c>
      <c r="D139" s="8" t="inlineStr">
        <is>
          <t>P2</t>
        </is>
      </c>
      <c r="E139" s="2" t="inlineStr">
        <is>
          <t>Open</t>
        </is>
      </c>
      <c r="F139" s="2" t="inlineStr">
        <is>
          <t>coral-purchase-orders.md:36</t>
        </is>
      </c>
      <c r="G139" s="2" t="inlineStr"/>
    </row>
    <row r="140">
      <c r="A140" s="2" t="inlineStr">
        <is>
          <t>TS-6</t>
        </is>
      </c>
      <c r="B140" s="3" t="inlineStr">
        <is>
          <t>weekly "hours last week" digest to owner/foreman; monthly payroll pack on a fixed day. Reuses the automations work (coral-automations-study.md).</t>
        </is>
      </c>
      <c r="C140" s="2" t="inlineStr">
        <is>
          <t>HR · Timesheet reporting</t>
        </is>
      </c>
      <c r="D140" s="8" t="inlineStr">
        <is>
          <t>P2</t>
        </is>
      </c>
      <c r="E140" s="2" t="inlineStr">
        <is>
          <t>Open</t>
        </is>
      </c>
      <c r="F140" s="2" t="inlineStr">
        <is>
          <t>coral-timesheet-reporting.md:66</t>
        </is>
      </c>
      <c r="G140" s="2" t="inlineStr"/>
    </row>
    <row r="141">
      <c r="A141" s="2" t="inlineStr">
        <is>
          <t>TS-7</t>
        </is>
      </c>
      <c r="B141" s="3" t="inlineStr">
        <is>
          <t>every edit/approval/manual entry is attributable: keep approvedBy/approvedAt, add createdBy/source on ClockEntry (additive) so a manual entry is distinguishable from a clocked one in every report. Corrections should amend with a trail, never silently overwrite — payroll data must be defensible.</t>
        </is>
      </c>
      <c r="C141" s="2" t="inlineStr">
        <is>
          <t>HR · Timesheet reporting</t>
        </is>
      </c>
      <c r="D141" s="8" t="inlineStr">
        <is>
          <t>P2</t>
        </is>
      </c>
      <c r="E141" s="2" t="inlineStr">
        <is>
          <t>Open</t>
        </is>
      </c>
      <c r="F141" s="2" t="inlineStr">
        <is>
          <t>coral-timesheet-reporting.md:67</t>
        </is>
      </c>
      <c r="G141" s="2" t="inlineStr"/>
    </row>
    <row r="142">
      <c r="A142" s="2" t="inlineStr">
        <is>
          <t>TSP-7</t>
        </is>
      </c>
      <c r="B142" s="3" t="inlineStr">
        <is>
          <t>only once TSP-1…6 demonstrably cover their function: remove timesheets/reports/, timesheets/approvals/, and their two hrTabs entries (config/tabs.ts:5-6). Keep the three APIs — they are page-agnostic and are what this page runs on. Never delete before the replacement works.</t>
        </is>
      </c>
      <c r="C142" s="2" t="inlineStr">
        <is>
          <t>HR · Timesheets page</t>
        </is>
      </c>
      <c r="D142" s="8" t="inlineStr">
        <is>
          <t>P2</t>
        </is>
      </c>
      <c r="E142" s="2" t="inlineStr">
        <is>
          <t>Open</t>
        </is>
      </c>
      <c r="F142" s="2" t="inlineStr">
        <is>
          <t>coral-timesheets-page.md:70</t>
        </is>
      </c>
      <c r="G142" s="2" t="inlineStr"/>
    </row>
    <row r="143">
      <c r="A143" s="2" t="inlineStr">
        <is>
          <t>TSP-B4</t>
        </is>
      </c>
      <c r="B143" s="3" t="inlineStr">
        <is>
          <t>default to this month (or last 30 days), not this week: on a Monday the week-to-date view is near-empty and reads as breakage. And distinguish the three empty cases: request failed · no entries at all · _no entries in this period, but N exist outside it_ — the last one with a one-click widen. (Th...</t>
        </is>
      </c>
      <c r="C143" s="2" t="inlineStr">
        <is>
          <t>HR · Timesheets page</t>
        </is>
      </c>
      <c r="D143" s="8" t="inlineStr">
        <is>
          <t>P2</t>
        </is>
      </c>
      <c r="E143" s="2" t="inlineStr">
        <is>
          <t>Open</t>
        </is>
      </c>
      <c r="F143" s="2" t="inlineStr">
        <is>
          <t>coral-timesheets-page.md:60</t>
        </is>
      </c>
      <c r="G143" s="2" t="inlineStr"/>
    </row>
    <row r="144">
      <c r="A144" s="2" t="inlineStr">
        <is>
          <t>MOBILE-DEVICE-DETECT</t>
        </is>
      </c>
      <c r="B144" s="3" t="inlineStr"/>
      <c r="C144" s="2" t="inlineStr">
        <is>
          <t>Mobile</t>
        </is>
      </c>
      <c r="D144" s="8" t="inlineStr">
        <is>
          <t>P2</t>
        </is>
      </c>
      <c r="E144" s="2" t="inlineStr">
        <is>
          <t>Open</t>
        </is>
      </c>
      <c r="F144" s="2" t="inlineStr">
        <is>
          <t>coral-mobile-optimization.md:36</t>
        </is>
      </c>
      <c r="G144" s="2" t="inlineStr"/>
    </row>
    <row r="145">
      <c r="A145" s="2" t="inlineStr">
        <is>
          <t>MOBILE-STACKED-CARDS</t>
        </is>
      </c>
      <c r="B145" s="3" t="inlineStr"/>
      <c r="C145" s="2" t="inlineStr">
        <is>
          <t>Mobile</t>
        </is>
      </c>
      <c r="D145" s="8" t="inlineStr">
        <is>
          <t>P2</t>
        </is>
      </c>
      <c r="E145" s="2" t="inlineStr">
        <is>
          <t>Open</t>
        </is>
      </c>
      <c r="F145" s="2" t="inlineStr">
        <is>
          <t>coral-mobile-optimization.md:25</t>
        </is>
      </c>
      <c r="G145" s="2" t="inlineStr"/>
    </row>
    <row r="146">
      <c r="A146" s="2" t="inlineStr">
        <is>
          <t>MEM-3d</t>
        </is>
      </c>
      <c r="B146" s="3" t="inlineStr">
        <is>
          <t>SERVER-SIDE ROLLUPS — project/cockpit totals aggregated server-side</t>
        </is>
      </c>
      <c r="C146" s="2" t="inlineStr">
        <is>
          <t>Performance · Memory</t>
        </is>
      </c>
      <c r="D146" s="8" t="inlineStr">
        <is>
          <t>P2</t>
        </is>
      </c>
      <c r="E146" s="2" t="inlineStr">
        <is>
          <t>Open</t>
        </is>
      </c>
      <c r="F146" s="2" t="inlineStr">
        <is>
          <t>coral-mem3-lazy-data.md</t>
        </is>
      </c>
      <c r="G146" s="2" t="inlineStr"/>
    </row>
    <row r="147">
      <c r="A147" s="2" t="inlineStr">
        <is>
          <t>MEM-3e</t>
        </is>
      </c>
      <c r="B147" s="3" t="inlineStr">
        <is>
          <t>WINDOWING WITHIN A DATABASE — cursor pagination + virtualised rows</t>
        </is>
      </c>
      <c r="C147" s="2" t="inlineStr">
        <is>
          <t>Performance · Memory</t>
        </is>
      </c>
      <c r="D147" s="8" t="inlineStr">
        <is>
          <t>P2</t>
        </is>
      </c>
      <c r="E147" s="2" t="inlineStr">
        <is>
          <t>Open</t>
        </is>
      </c>
      <c r="F147" s="2" t="inlineStr">
        <is>
          <t>coral-mem3-lazy-data.md</t>
        </is>
      </c>
      <c r="G147" s="2" t="inlineStr"/>
    </row>
    <row r="148">
      <c r="A148" s="2" t="inlineStr">
        <is>
          <t>MEM-4</t>
        </is>
      </c>
      <c r="B148" s="3" t="inlineStr"/>
      <c r="C148" s="2" t="inlineStr">
        <is>
          <t>Performance · Memory</t>
        </is>
      </c>
      <c r="D148" s="8" t="inlineStr">
        <is>
          <t>P2</t>
        </is>
      </c>
      <c r="E148" s="2" t="inlineStr">
        <is>
          <t>Open</t>
        </is>
      </c>
      <c r="F148" s="2" t="inlineStr">
        <is>
          <t>coral-memory-investigation.md:46</t>
        </is>
      </c>
      <c r="G148" s="2" t="inlineStr"/>
    </row>
    <row r="149">
      <c r="A149" s="2" t="inlineStr">
        <is>
          <t>MEM-5</t>
        </is>
      </c>
      <c r="B149" s="3" t="inlineStr"/>
      <c r="C149" s="2" t="inlineStr">
        <is>
          <t>Performance · Memory</t>
        </is>
      </c>
      <c r="D149" s="8" t="inlineStr">
        <is>
          <t>P2</t>
        </is>
      </c>
      <c r="E149" s="2" t="inlineStr">
        <is>
          <t>Open</t>
        </is>
      </c>
      <c r="F149" s="2" t="inlineStr">
        <is>
          <t>coral-memory-investigation.md:52</t>
        </is>
      </c>
      <c r="G149" s="2" t="inlineStr"/>
    </row>
    <row r="150">
      <c r="A150" s="2" t="inlineStr">
        <is>
          <t>—</t>
        </is>
      </c>
      <c r="B150" s="3" t="inlineStr">
        <is>
          <t>B1. Tenant Profile Staleness &amp; Triple Write</t>
        </is>
      </c>
      <c r="C150" s="2" t="inlineStr">
        <is>
          <t>Pro Hardening</t>
        </is>
      </c>
      <c r="D150" s="8" t="inlineStr">
        <is>
          <t>P2</t>
        </is>
      </c>
      <c r="E150" s="5" t="inlineStr">
        <is>
          <t>Done</t>
        </is>
      </c>
      <c r="F150" s="2" t="inlineStr">
        <is>
          <t>pro-hardening.md:979</t>
        </is>
      </c>
      <c r="G150" s="2" t="inlineStr"/>
    </row>
    <row r="151">
      <c r="A151" s="2" t="inlineStr">
        <is>
          <t>PROJ-7</t>
        </is>
      </c>
      <c r="B151" s="3" t="inlineStr">
        <is>
          <t>the projects list is the generic grid + type tabs (Operations/Admin/BizDev). Add at-a-glance health columns: status, % complete, margin, invoiced/quoted, deadline — so the list is a portfolio dashboard, not a raw table. (Could ride the mobile stacked-card + database work.)</t>
        </is>
      </c>
      <c r="C151" s="2" t="inlineStr">
        <is>
          <t>Projects</t>
        </is>
      </c>
      <c r="D151" s="8" t="inlineStr">
        <is>
          <t>P2</t>
        </is>
      </c>
      <c r="E151" s="2" t="inlineStr">
        <is>
          <t>Open</t>
        </is>
      </c>
      <c r="F151" s="2" t="inlineStr">
        <is>
          <t>coral-project-module.md:35</t>
        </is>
      </c>
      <c r="G151" s="2" t="inlineStr"/>
    </row>
    <row r="152">
      <c r="A152" s="2" t="inlineStr">
        <is>
          <t>RCPT-L4b-5</t>
        </is>
      </c>
      <c r="B152" s="3" t="inlineStr">
        <is>
          <t>all of the above strings in en/nl/fr per the LOCALISATION DIRECTIVE. The modal is currently hardcoded English (AI Document Import, Drop multiple invoices or receipts, Click or drag files here, Done).</t>
        </is>
      </c>
      <c r="C152" s="2" t="inlineStr">
        <is>
          <t>Scan · Receipt bulk</t>
        </is>
      </c>
      <c r="D152" s="8" t="inlineStr">
        <is>
          <t>P2</t>
        </is>
      </c>
      <c r="E152" s="5" t="inlineStr">
        <is>
          <t>Done</t>
        </is>
      </c>
      <c r="F152" s="2" t="inlineStr">
        <is>
          <t>coral-receipt-bulk.md:81</t>
        </is>
      </c>
      <c r="G152" s="2" t="inlineStr"/>
    </row>
    <row r="153">
      <c r="A153" s="2" t="inlineStr">
        <is>
          <t>ADDENDUM-PARENT-LINK</t>
        </is>
      </c>
      <c r="B153" s="3" t="inlineStr">
        <is>
          <t>bring the addendum link up to credit-note parity:</t>
        </is>
      </c>
      <c r="C153" s="2" t="inlineStr">
        <is>
          <t>Triage / core</t>
        </is>
      </c>
      <c r="D153" s="8" t="inlineStr">
        <is>
          <t>P2</t>
        </is>
      </c>
      <c r="E153" s="2" t="inlineStr">
        <is>
          <t>Open</t>
        </is>
      </c>
      <c r="F153" s="2" t="inlineStr">
        <is>
          <t>ground-zero-triage.md:532</t>
        </is>
      </c>
      <c r="G153" s="2" t="inlineStr"/>
    </row>
    <row r="154">
      <c r="A154" s="2" t="inlineStr">
        <is>
          <t>ATTACH-EVERYWHERE</t>
        </is>
      </c>
      <c r="B154" s="3" t="inlineStr">
        <is>
          <t>no consistent "attach files to a record" anywhere (Florin 2026-07-04: "nowhere — not sales, quotes, projects, invoices"). Foundation EXISTS: uploadFileAction/listRecordFiles/deleteFileAction keyed by t_{tenant}/{recordType}/{recordId}/…; only the send modals use it. GAP: no reusable attachments U...</t>
        </is>
      </c>
      <c r="C154" s="2" t="inlineStr">
        <is>
          <t>Triage / core</t>
        </is>
      </c>
      <c r="D154" s="8" t="inlineStr">
        <is>
          <t>P2</t>
        </is>
      </c>
      <c r="E154" s="5" t="inlineStr">
        <is>
          <t>Done</t>
        </is>
      </c>
      <c r="F154" s="2" t="inlineStr">
        <is>
          <t>ground-zero-triage.md:1113</t>
        </is>
      </c>
      <c r="G154" s="2" t="inlineStr"/>
    </row>
    <row r="155">
      <c r="A155" s="2" t="inlineStr">
        <is>
          <t>B1</t>
        </is>
      </c>
      <c r="B155" s="3" t="inlineStr">
        <is>
          <t>(using HrTeam logic) — enforce role TENANT_ENTERPRISE_WORKFORCE: crew sees ONLY items assigned to them OR self-created (tasks, shifts); Projects appears read-only + assigned-only in selects; owner/admin items hidden from crew. Team-leader = own + team; owner = all. Server-side query scoping AND U...</t>
        </is>
      </c>
      <c r="C155" s="2" t="inlineStr">
        <is>
          <t>Triage / core</t>
        </is>
      </c>
      <c r="D155" s="8" t="inlineStr">
        <is>
          <t>P2</t>
        </is>
      </c>
      <c r="E155" s="5" t="inlineStr">
        <is>
          <t>Done</t>
        </is>
      </c>
      <c r="F155" s="2" t="inlineStr">
        <is>
          <t>ground-zero-triage.md:722</t>
        </is>
      </c>
      <c r="G155" s="2" t="inlineStr"/>
    </row>
    <row r="156">
      <c r="A156" s="2" t="inlineStr">
        <is>
          <t>B2</t>
        </is>
      </c>
      <c r="B156" s="3" t="inlineStr">
        <is>
          <t>the WF-1..6 redesign must actually render for the WORKFORCE role (Florin tests as admin; the workforce view may be unchanged — that's the "app state unchanged for workforce members" report). Verify logged in AS a workforce member.</t>
        </is>
      </c>
      <c r="C156" s="2" t="inlineStr">
        <is>
          <t>Triage / core</t>
        </is>
      </c>
      <c r="D156" s="8" t="inlineStr">
        <is>
          <t>P2</t>
        </is>
      </c>
      <c r="E156" s="5" t="inlineStr">
        <is>
          <t>Done</t>
        </is>
      </c>
      <c r="F156" s="2" t="inlineStr">
        <is>
          <t>ground-zero-triage.md:723</t>
        </is>
      </c>
      <c r="G156" s="2" t="inlineStr"/>
    </row>
    <row r="157">
      <c r="A157" s="2" t="inlineStr">
        <is>
          <t>B3</t>
        </is>
      </c>
      <c r="B157" s="3" t="inlineStr">
        <is>
          <t>worker's "My Schedule" shows only their shifts; admin sees the team but labeled "Workforce/Team Schedule", not "My Schedule".</t>
        </is>
      </c>
      <c r="C157" s="2" t="inlineStr">
        <is>
          <t>Triage / core</t>
        </is>
      </c>
      <c r="D157" s="8" t="inlineStr">
        <is>
          <t>P2</t>
        </is>
      </c>
      <c r="E157" s="5" t="inlineStr">
        <is>
          <t>Done</t>
        </is>
      </c>
      <c r="F157" s="2" t="inlineStr">
        <is>
          <t>ground-zero-triage.md:724</t>
        </is>
      </c>
      <c r="G157" s="2" t="inlineStr"/>
    </row>
    <row r="158">
      <c r="A158" s="2" t="inlineStr">
        <is>
          <t>CLOCK-APPROVAL</t>
        </is>
      </c>
      <c r="B158" s="3" t="inlineStr">
        <is>
          <t>(Florin: "manual check from foreman or owner to establish payables") — add an approval state to ClockEntry (e.g. approvalStatus: auto-approved vs pending, + approver/approvedAt). In-geofence shift clocks = auto-approved/payable; manual and off-site "clock without shift" entries = PENDING. Foreman...</t>
        </is>
      </c>
      <c r="C158" s="2" t="inlineStr">
        <is>
          <t>Triage / core</t>
        </is>
      </c>
      <c r="D158" s="8" t="inlineStr">
        <is>
          <t>P2</t>
        </is>
      </c>
      <c r="E158" s="5" t="inlineStr">
        <is>
          <t>Done</t>
        </is>
      </c>
      <c r="F158" s="2" t="inlineStr">
        <is>
          <t>ground-zero-triage.md:1065</t>
        </is>
      </c>
      <c r="G158" s="2" t="inlineStr"/>
    </row>
    <row r="159">
      <c r="A159" s="2" t="inlineStr">
        <is>
          <t>CLOCK-GEO-CAPTURE</t>
        </is>
      </c>
      <c r="B159" s="3" t="inlineStr">
        <is>
          <t>on every clock-in/out (shift or manual) capture geolocation into the existing clockIn/OutLatitude/Longitude; show the captured location on the timesheet entry. Manual clock-in ALSO captures location (Florin: "the manual clock in captures the location in the timesheet").</t>
        </is>
      </c>
      <c r="C159" s="2" t="inlineStr">
        <is>
          <t>Triage / core</t>
        </is>
      </c>
      <c r="D159" s="8" t="inlineStr">
        <is>
          <t>P2</t>
        </is>
      </c>
      <c r="E159" s="5" t="inlineStr">
        <is>
          <t>Done</t>
        </is>
      </c>
      <c r="F159" s="2" t="inlineStr">
        <is>
          <t>ground-zero-triage.md:1063</t>
        </is>
      </c>
      <c r="G159" s="2" t="inlineStr"/>
    </row>
    <row r="160">
      <c r="A160" s="2" t="inlineStr">
        <is>
          <t>CLOCK-GEOFENCE</t>
        </is>
      </c>
      <c r="B160" s="3" t="inlineStr">
        <is>
          <t>(Florin refined 2026-07-05: no hard block on the worker, but a max distance gates the SHIFT clock) — a SHIFT clock-in is allowed ONLY when the captured location is within a max distance of the shift's project SITE location (configurable radius, default ~150m). WITHIN radius → shift ClockEntry cre...</t>
        </is>
      </c>
      <c r="C160" s="2" t="inlineStr">
        <is>
          <t>Triage / core</t>
        </is>
      </c>
      <c r="D160" s="8" t="inlineStr">
        <is>
          <t>P2</t>
        </is>
      </c>
      <c r="E160" s="5" t="inlineStr">
        <is>
          <t>Done</t>
        </is>
      </c>
      <c r="F160" s="2" t="inlineStr">
        <is>
          <t>ground-zero-triage.md:1064</t>
        </is>
      </c>
      <c r="G160" s="2" t="inlineStr"/>
    </row>
    <row r="161">
      <c r="A161" s="2" t="inlineStr">
        <is>
          <t>CLOCK-OUT-LOCATION-CONSISTENCY</t>
        </is>
      </c>
      <c r="B161" s="3" t="inlineStr">
        <is>
          <t>clock-out asks for location on desktop but not mobile (Florin 2026-07-12). Two divergent clock-out paths + a real bug:</t>
        </is>
      </c>
      <c r="C161" s="2" t="inlineStr">
        <is>
          <t>Triage / core</t>
        </is>
      </c>
      <c r="D161" s="8" t="inlineStr">
        <is>
          <t>P2</t>
        </is>
      </c>
      <c r="E161" s="2" t="inlineStr">
        <is>
          <t>Open</t>
        </is>
      </c>
      <c r="F161" s="2" t="inlineStr">
        <is>
          <t>ground-zero-triage.md:479</t>
        </is>
      </c>
      <c r="G161" s="2" t="inlineStr"/>
    </row>
    <row r="162">
      <c r="A162" s="2" t="inlineStr">
        <is>
          <t>DATEPICKER-MONTH-YEAR-DROPDOWN</t>
        </is>
      </c>
      <c r="B162" s="3" t="inlineStr">
        <is>
          <t>src/components/ui/calendar.tsx (react-day-picker v9) sets no captionLayout → prev/next arrows ONLY (scrolling from today back to Feb 1980 is absurd). FIX: set captionLayout="dropdown" + range (startMonth={new Date(1970,0)} … endMonth={new Date(currentYear+5,11)}) so clicking the month opens a mon...</t>
        </is>
      </c>
      <c r="C162" s="2" t="inlineStr">
        <is>
          <t>Triage / core</t>
        </is>
      </c>
      <c r="D162" s="8" t="inlineStr">
        <is>
          <t>P2</t>
        </is>
      </c>
      <c r="E162" s="5" t="inlineStr">
        <is>
          <t>Done</t>
        </is>
      </c>
      <c r="F162" s="2" t="inlineStr">
        <is>
          <t>ground-zero-triage.md:362</t>
        </is>
      </c>
      <c r="G162" s="2" t="inlineStr"/>
    </row>
    <row r="163">
      <c r="A163" s="2" t="inlineStr">
        <is>
          <t>DB-SCHEMA-VISIBILITY-BTN</t>
        </is>
      </c>
      <c r="B163" s="3" t="inlineStr">
        <is>
          <t>in the database schema editor, add a visibility (show/hide) toggle next to the trash icon on each property row, so a column can be hidden from the schema panel directly instead of hunting for the properties dropdown. Use the eye / eye-off icons already imported in PropertiesDropdown.tsx:4 (Eye, E...</t>
        </is>
      </c>
      <c r="C163" s="2" t="inlineStr">
        <is>
          <t>Triage / core</t>
        </is>
      </c>
      <c r="D163" s="8" t="inlineStr">
        <is>
          <t>P2</t>
        </is>
      </c>
      <c r="E163" s="2" t="inlineStr">
        <is>
          <t>Open</t>
        </is>
      </c>
      <c r="F163" s="2" t="inlineStr">
        <is>
          <t>ground-zero-triage.md:286</t>
        </is>
      </c>
      <c r="G163" s="2" t="inlineStr"/>
    </row>
    <row r="164">
      <c r="A164" s="2" t="inlineStr">
        <is>
          <t>DOC-PROPOSAL</t>
        </is>
      </c>
      <c r="B164" s="3" t="inlineStr">
        <is>
          <t>a lightweight proposal document, reusing the quotation engine (do NOT fork a second engine):</t>
        </is>
      </c>
      <c r="C164" s="2" t="inlineStr">
        <is>
          <t>Triage / core</t>
        </is>
      </c>
      <c r="D164" s="8" t="inlineStr">
        <is>
          <t>P2</t>
        </is>
      </c>
      <c r="E164" s="2" t="inlineStr">
        <is>
          <t>Open</t>
        </is>
      </c>
      <c r="F164" s="2" t="inlineStr">
        <is>
          <t>ground-zero-triage.md:543</t>
        </is>
      </c>
      <c r="G164" s="2" t="inlineStr"/>
    </row>
    <row r="165">
      <c r="A165" s="2" t="inlineStr">
        <is>
          <t>DOC-TEMPLATE-POLISH</t>
        </is>
      </c>
      <c r="B165" s="3" t="inlineStr"/>
      <c r="C165" s="2" t="inlineStr">
        <is>
          <t>Triage / core</t>
        </is>
      </c>
      <c r="D165" s="8" t="inlineStr">
        <is>
          <t>P2</t>
        </is>
      </c>
      <c r="E165" s="2" t="inlineStr">
        <is>
          <t>Open</t>
        </is>
      </c>
      <c r="F165" s="2" t="inlineStr">
        <is>
          <t>ground-zero-triage.md:392</t>
        </is>
      </c>
      <c r="G165" s="2" t="inlineStr"/>
    </row>
    <row r="166">
      <c r="A166" s="2" t="inlineStr">
        <is>
          <t>ENGINE-ADD-BLOCK-AFFORDANCES</t>
        </is>
      </c>
      <c r="B166" s="3" t="inlineStr">
        <is>
          <t>stop making Florin scroll to find buttons (same pass as the DnD rebuild):</t>
        </is>
      </c>
      <c r="C166" s="2" t="inlineStr">
        <is>
          <t>Triage / core</t>
        </is>
      </c>
      <c r="D166" s="8" t="inlineStr">
        <is>
          <t>P2</t>
        </is>
      </c>
      <c r="E166" s="2" t="inlineStr">
        <is>
          <t>Open</t>
        </is>
      </c>
      <c r="F166" s="2" t="inlineStr">
        <is>
          <t>ground-zero-triage.md:580</t>
        </is>
      </c>
      <c r="G166" s="2" t="inlineStr"/>
    </row>
    <row r="167">
      <c r="A167" s="2" t="inlineStr">
        <is>
          <t>ENGINE-ALIGN</t>
        </is>
      </c>
      <c r="B167" s="3" t="inlineStr">
        <is>
          <t>quote engine calc element/value alignment off (right-align numbers, consistent columns; ties ENGINE-ROW-BREAK). Measure + align. ENGINE-ALIGN: align quote engine calc columns/values.</t>
        </is>
      </c>
      <c r="C167" s="2" t="inlineStr">
        <is>
          <t>Triage / core</t>
        </is>
      </c>
      <c r="D167" s="8" t="inlineStr">
        <is>
          <t>P2</t>
        </is>
      </c>
      <c r="E167" s="5" t="inlineStr">
        <is>
          <t>Done</t>
        </is>
      </c>
      <c r="F167" s="2" t="inlineStr">
        <is>
          <t>ground-zero-triage.md:1159</t>
        </is>
      </c>
      <c r="G167" s="2" t="inlineStr"/>
    </row>
    <row r="168">
      <c r="A168" s="2" t="inlineStr">
        <is>
          <t>EXPENSE-PROJECT-SELECT-EMPTY</t>
        </is>
      </c>
      <c r="B168" s="3" t="inlineStr">
        <is>
          <t>the project select IS a functional SearchableSelect already (L947), but its options = Object.values(pages).filter(db-1) (L75) are empty because the projects DB (db-1) isn't hydrated into the store when the modal opens. FIX: ensure db-1 (projects) pages are loaded/available to the modal (fetch on ...</t>
        </is>
      </c>
      <c r="C168" s="2" t="inlineStr">
        <is>
          <t>Triage / core</t>
        </is>
      </c>
      <c r="D168" s="8" t="inlineStr">
        <is>
          <t>P2</t>
        </is>
      </c>
      <c r="E168" s="5" t="inlineStr">
        <is>
          <t>Done</t>
        </is>
      </c>
      <c r="F168" s="2" t="inlineStr">
        <is>
          <t>ground-zero-triage.md:361</t>
        </is>
      </c>
      <c r="G168" s="2" t="inlineStr"/>
    </row>
    <row r="169">
      <c r="A169" s="2" t="inlineStr">
        <is>
          <t>GRID-VIEW-FILTER-SCOPE</t>
        </is>
      </c>
      <c r="B169" s="3" t="inlineStr">
        <is>
          <t>filters leak across database views; views lose their point (Florin 2026-07-05). ROOT CAUSE (Planner-traced): model supports per-view DatabaseView.filters/sorts and DatabaseClone threads a distinct viewId per tab, BUT every read falls back to the deprecated shared database.activeFilters via active...</t>
        </is>
      </c>
      <c r="C169" s="2" t="inlineStr">
        <is>
          <t>Triage / core</t>
        </is>
      </c>
      <c r="D169" s="8" t="inlineStr">
        <is>
          <t>P2</t>
        </is>
      </c>
      <c r="E169" s="5" t="inlineStr">
        <is>
          <t>Done</t>
        </is>
      </c>
      <c r="F169" s="2" t="inlineStr">
        <is>
          <t>ground-zero-triage.md:1111</t>
        </is>
      </c>
      <c r="G169" s="2" t="inlineStr"/>
    </row>
    <row r="170">
      <c r="A170" s="2" t="inlineStr">
        <is>
          <t>HR-1</t>
        </is>
      </c>
      <c r="B170" s="3" t="inlineStr">
        <is>
          <t>run GET /api/admin/backfill-worker-ids (dry-run). Expect ~38 rows to fix (37 shifts + 1 clock entry) plus a list of unfixable rows (employees with userId = NULL) and the 6 orphans (3 shifts + 3 clock entries matching neither table — these need manual attribution, report them, never guess).</t>
        </is>
      </c>
      <c r="C170" s="2" t="inlineStr">
        <is>
          <t>Triage / core</t>
        </is>
      </c>
      <c r="D170" s="8" t="inlineStr">
        <is>
          <t>P2</t>
        </is>
      </c>
      <c r="E170" s="5" t="inlineStr">
        <is>
          <t>Done</t>
        </is>
      </c>
      <c r="F170" s="2" t="inlineStr">
        <is>
          <t>ground-zero-triage.md:277</t>
        </is>
      </c>
      <c r="G170" s="2" t="inlineStr"/>
    </row>
    <row r="171">
      <c r="A171" s="2" t="inlineStr">
        <is>
          <t>HR-2</t>
        </is>
      </c>
      <c r="B171" s="3" t="inlineStr">
        <is>
          <t>review, then POST to apply (Florin-gated). This alone should surface the 37 hidden shifts.</t>
        </is>
      </c>
      <c r="C171" s="2" t="inlineStr">
        <is>
          <t>Triage / core</t>
        </is>
      </c>
      <c r="D171" s="8" t="inlineStr">
        <is>
          <t>P2</t>
        </is>
      </c>
      <c r="E171" s="5" t="inlineStr">
        <is>
          <t>Done</t>
        </is>
      </c>
      <c r="F171" s="2" t="inlineStr">
        <is>
          <t>ground-zero-triage.md:278</t>
        </is>
      </c>
      <c r="G171" s="2" t="inlineStr"/>
    </row>
    <row r="172">
      <c r="A172" s="2" t="inlineStr">
        <is>
          <t>HR-3</t>
        </is>
      </c>
      <c r="B172" s="3" t="inlineStr">
        <is>
          <t>fix the Timesheets page fetch/filter — 20 complete entries exist but none render. Independent of ids; do not assume HR-2 fixes it.</t>
        </is>
      </c>
      <c r="C172" s="2" t="inlineStr">
        <is>
          <t>Triage / core</t>
        </is>
      </c>
      <c r="D172" s="8" t="inlineStr">
        <is>
          <t>P2</t>
        </is>
      </c>
      <c r="E172" s="2" t="inlineStr">
        <is>
          <t>Open</t>
        </is>
      </c>
      <c r="F172" s="2" t="inlineStr">
        <is>
          <t>ground-zero-triage.md:279</t>
        </is>
      </c>
      <c r="G172" s="2" t="inlineStr"/>
    </row>
    <row r="173">
      <c r="A173" s="2" t="inlineStr">
        <is>
          <t>HR-4</t>
        </is>
      </c>
      <c r="B173" s="3" t="inlineStr">
        <is>
          <t>the Approvals page is not under the module tab bar and shows no detail; the Reports page crashes ("Failed to load reports"). Both were built outside the established module-tab pattern. Re-judge them only after HR-2/HR-3 — "0 openstaand" was largely a consequence of invisible data. Requirement sta...</t>
        </is>
      </c>
      <c r="C173" s="2" t="inlineStr">
        <is>
          <t>Triage / core</t>
        </is>
      </c>
      <c r="D173" s="8" t="inlineStr">
        <is>
          <t>P2</t>
        </is>
      </c>
      <c r="E173" s="2" t="inlineStr">
        <is>
          <t>Open</t>
        </is>
      </c>
      <c r="F173" s="2" t="inlineStr">
        <is>
          <t>ground-zero-triage.md:280</t>
        </is>
      </c>
      <c r="G173" s="2" t="inlineStr"/>
    </row>
    <row r="174">
      <c r="A174" s="2" t="inlineStr">
        <is>
          <t>HR-TIMESHEETS-RICH-UI</t>
        </is>
      </c>
      <c r="B174" s="3" t="inlineStr">
        <is>
          <t>port the "beautiful options" from the mobile worker timesheets into the HR module (Florin: nice-to-have, he'll swing between apps for now). The worker src/components/time-tracker/pages/Performance.tsx has: StatCards (Days Present, Hours Worked, +others), a date-range period filter (default curren...</t>
        </is>
      </c>
      <c r="C174" s="2" t="inlineStr">
        <is>
          <t>Triage / core</t>
        </is>
      </c>
      <c r="D174" s="8" t="inlineStr">
        <is>
          <t>P2</t>
        </is>
      </c>
      <c r="E174" s="2" t="inlineStr">
        <is>
          <t>Open</t>
        </is>
      </c>
      <c r="F174" s="2" t="inlineStr">
        <is>
          <t>ground-zero-triage.md:408</t>
        </is>
      </c>
      <c r="G174" s="2" t="inlineStr"/>
    </row>
    <row r="175">
      <c r="A175" s="2" t="inlineStr">
        <is>
          <t>JOURNAL-EDITOR-REWORK</t>
        </is>
      </c>
      <c r="B175" s="3" t="inlineStr">
        <is>
          <t>Florin: "the journal editor is another horror story — implementation suffers greatly." Known concrete issues from the code (JournalCard.tsx): competing autoFocus on the quick-add textarea (L309) and the inline edit textarea (L373) which fight the modal's focus trap (see RECORD-DETAIL-PASTE-FOCUS ...</t>
        </is>
      </c>
      <c r="C175" s="2" t="inlineStr">
        <is>
          <t>Triage / core</t>
        </is>
      </c>
      <c r="D175" s="8" t="inlineStr">
        <is>
          <t>P2</t>
        </is>
      </c>
      <c r="E175" s="2" t="inlineStr">
        <is>
          <t>Open</t>
        </is>
      </c>
      <c r="F175" s="2" t="inlineStr">
        <is>
          <t>ground-zero-triage.md:589</t>
        </is>
      </c>
      <c r="G175" s="2" t="inlineStr"/>
    </row>
    <row r="176">
      <c r="A176" s="2" t="inlineStr">
        <is>
          <t>MODAL-HAZE-SUBPIXEL-FINAL</t>
        </is>
      </c>
      <c r="B176" s="3" t="inlineStr">
        <is>
          <t>ROOT CAUSE (Planner-traced): src/components/ui/dialog.tsx L58 centers every dialog via translate-x-[-50%] translate-y-[-50%] (Radix default). On any odd panel width/height that resolves to a half-pixel, and the translate + the zoom-in-95/slide- open animation + the L23 overlay backdrop-blur-sm ke...</t>
        </is>
      </c>
      <c r="C176" s="2" t="inlineStr">
        <is>
          <t>Triage / core</t>
        </is>
      </c>
      <c r="D176" s="8" t="inlineStr">
        <is>
          <t>P2</t>
        </is>
      </c>
      <c r="E176" s="2" t="inlineStr">
        <is>
          <t>Open</t>
        </is>
      </c>
      <c r="F176" s="2" t="inlineStr">
        <is>
          <t>ground-zero-triage.md:383</t>
        </is>
      </c>
      <c r="G176" s="2" t="inlineStr"/>
    </row>
    <row r="177">
      <c r="A177" s="2" t="inlineStr">
        <is>
          <t>MODAL-REMOVE-JOURNAL-STUB</t>
        </is>
      </c>
      <c r="B177" s="3" t="inlineStr">
        <is>
          <t>detail modal: remove the legacy "Start your project journal" section (superseded by the new journal card). MODAL-REMOVE-JOURNAL-STUB: drop legacy journal stub from detail modal.</t>
        </is>
      </c>
      <c r="C177" s="2" t="inlineStr">
        <is>
          <t>Triage / core</t>
        </is>
      </c>
      <c r="D177" s="8" t="inlineStr">
        <is>
          <t>P2</t>
        </is>
      </c>
      <c r="E177" s="5" t="inlineStr">
        <is>
          <t>Done</t>
        </is>
      </c>
      <c r="F177" s="2" t="inlineStr">
        <is>
          <t>ground-zero-triage.md:1148</t>
        </is>
      </c>
      <c r="G177" s="2" t="inlineStr"/>
    </row>
    <row r="178">
      <c r="A178" s="2" t="inlineStr">
        <is>
          <t>OCC-5-CRON-NO-OP-WRITES</t>
        </is>
      </c>
      <c r="B178" s="3" t="inlineStr">
        <is>
          <t>stop gratuitous updatedAt bumps. Audit the cron/system writers and skip the write entirely when the computed value equals the stored one (invoice-overdue already checks status before writing — mirror that in vat-backfill, backfill-peppol, and the payment-match paths). Fewer bumps = fewer stale ba...</t>
        </is>
      </c>
      <c r="C178" s="2" t="inlineStr">
        <is>
          <t>Triage / core</t>
        </is>
      </c>
      <c r="D178" s="8" t="inlineStr">
        <is>
          <t>P2</t>
        </is>
      </c>
      <c r="E178" s="2" t="inlineStr">
        <is>
          <t>Open</t>
        </is>
      </c>
      <c r="F178" s="2" t="inlineStr">
        <is>
          <t>ground-zero-triage.md:111</t>
        </is>
      </c>
      <c r="G178" s="2" t="inlineStr"/>
    </row>
    <row r="179">
      <c r="A179" s="2" t="inlineStr">
        <is>
          <t>PI-INFER-VAT-CURRENCY</t>
        </is>
      </c>
      <c r="B179" s="3" t="inlineStr">
        <is>
          <t>on the incoming-invoice edit screen, VAT regime and currency should be inferred from the document, with the manual settings kept as a backup/override (Florin). Today both default to '' and are only read back from stored props (PurchaseInvoiceEngine.tsx L205-206, L281-282). Sources already exist: ...</t>
        </is>
      </c>
      <c r="C179" s="2" t="inlineStr">
        <is>
          <t>Triage / core</t>
        </is>
      </c>
      <c r="D179" s="8" t="inlineStr">
        <is>
          <t>P2</t>
        </is>
      </c>
      <c r="E179" s="2" t="inlineStr">
        <is>
          <t>Open</t>
        </is>
      </c>
      <c r="F179" s="2" t="inlineStr">
        <is>
          <t>ground-zero-triage.md:588</t>
        </is>
      </c>
      <c r="G179" s="2" t="inlineStr"/>
    </row>
    <row r="180">
      <c r="A180" s="2" t="inlineStr">
        <is>
          <t>PI-PROJECT-SELECT-SEARCH</t>
        </is>
      </c>
      <c r="B180" s="3" t="inlineStr">
        <is>
          <t>on the incoming-invoice edit screen the "Gekoppeld Project" field uses SelectDropdown (PurchaseInvoiceEngine.tsx L645-651) — a different component from the searchable select used elsewhere — and its search field does not filter. FIX: either fix SelectDropdown's search filtering (it's used in othe...</t>
        </is>
      </c>
      <c r="C180" s="2" t="inlineStr">
        <is>
          <t>Triage / core</t>
        </is>
      </c>
      <c r="D180" s="8" t="inlineStr">
        <is>
          <t>P2</t>
        </is>
      </c>
      <c r="E180" s="2" t="inlineStr">
        <is>
          <t>Open</t>
        </is>
      </c>
      <c r="F180" s="2" t="inlineStr">
        <is>
          <t>ground-zero-triage.md:587</t>
        </is>
      </c>
      <c r="G180" s="2" t="inlineStr"/>
    </row>
    <row r="181">
      <c r="A181" s="2" t="inlineStr">
        <is>
          <t>QUOTE-ANALYSIS-ADAPT</t>
        </is>
      </c>
      <c r="B181" s="3" t="inlineStr">
        <is>
          <t>adapt the analysis card to a QUOTE: quoted amount, workforce cost, material/overhead, margin &amp; profit, quote-pertinent indicators (replace the project-budget version when databaseId is db-quotations). QUOTE-ANALYSIS-ADAPT: quote-specific financial analysis.</t>
        </is>
      </c>
      <c r="C181" s="2" t="inlineStr">
        <is>
          <t>Triage / core</t>
        </is>
      </c>
      <c r="D181" s="8" t="inlineStr">
        <is>
          <t>P2</t>
        </is>
      </c>
      <c r="E181" s="5" t="inlineStr">
        <is>
          <t>Done</t>
        </is>
      </c>
      <c r="F181" s="2" t="inlineStr">
        <is>
          <t>ground-zero-triage.md:1157</t>
        </is>
      </c>
      <c r="G181" s="2" t="inlineStr"/>
    </row>
    <row r="182">
      <c r="A182" s="2" t="inlineStr">
        <is>
          <t>QUOTE-ANALYSIS-TOOLTIP</t>
        </is>
      </c>
      <c r="B182" s="3" t="inlineStr">
        <is>
          <t>remove the black tooltip on the financial-analysis card (useless). QUOTE-ANALYSIS-TOOLTIP: remove black tooltip.</t>
        </is>
      </c>
      <c r="C182" s="2" t="inlineStr">
        <is>
          <t>Triage / core</t>
        </is>
      </c>
      <c r="D182" s="8" t="inlineStr">
        <is>
          <t>P2</t>
        </is>
      </c>
      <c r="E182" s="5" t="inlineStr">
        <is>
          <t>Done</t>
        </is>
      </c>
      <c r="F182" s="2" t="inlineStr">
        <is>
          <t>ground-zero-triage.md:1156</t>
        </is>
      </c>
      <c r="G182" s="2" t="inlineStr"/>
    </row>
    <row r="183">
      <c r="A183" s="2" t="inlineStr">
        <is>
          <t>QUOTE-EDIT-NAV</t>
        </is>
      </c>
      <c r="B183" s="3" t="inlineStr">
        <is>
          <t>the quotation details-modal "Edit quotation" button routes to the STATUS pipeline kanban (/admin/quotations) instead of the engine (/admin/quotations/[id]). Find the button; point it at the [id] engine route. VERIFY: Edit → opens the quote engine. QUOTE-EDIT-NAV: edit button opens quote engine no...</t>
        </is>
      </c>
      <c r="C183" s="2" t="inlineStr">
        <is>
          <t>Triage / core</t>
        </is>
      </c>
      <c r="D183" s="8" t="inlineStr">
        <is>
          <t>P2</t>
        </is>
      </c>
      <c r="E183" s="5" t="inlineStr">
        <is>
          <t>Done</t>
        </is>
      </c>
      <c r="F183" s="2" t="inlineStr">
        <is>
          <t>ground-zero-triage.md:1155</t>
        </is>
      </c>
      <c r="G183" s="2" t="inlineStr"/>
    </row>
    <row r="184">
      <c r="A184" s="2" t="inlineStr">
        <is>
          <t>QUOTE-MEER-ACTIES</t>
        </is>
      </c>
      <c r="B184" s="3" t="inlineStr">
        <is>
          <t>"Meer acties" button: localize (i18n) + fix blur (same compositing family as MODAL-HAZE; also the kanban three-dot flyout blur). QUOTE-MEER-ACTIES: localize + de-blur meer-acties and kanban flyout.</t>
        </is>
      </c>
      <c r="C184" s="2" t="inlineStr">
        <is>
          <t>Triage / core</t>
        </is>
      </c>
      <c r="D184" s="8" t="inlineStr">
        <is>
          <t>P2</t>
        </is>
      </c>
      <c r="E184" s="5" t="inlineStr">
        <is>
          <t>Done</t>
        </is>
      </c>
      <c r="F184" s="2" t="inlineStr">
        <is>
          <t>ground-zero-triage.md:1158</t>
        </is>
      </c>
      <c r="G184" s="2" t="inlineStr"/>
    </row>
    <row r="185">
      <c r="A185" s="2" t="inlineStr">
        <is>
          <t>RECEIPT-VAT-NOT-DEDUCTIBLE</t>
        </is>
      </c>
      <c r="B185" s="3" t="inlineStr">
        <is>
          <t>VAT on receipts is NOT deductible (Florin; correct — a cash-register ticket isn't a compliant factuur, so input VAT can't be recovered; the full incl-VAT amount is the cost). FIX: for receipt/ticket-mode captures (db-tickets / kassabon, as opposed to a proper invoice in db-expenses), book the ful...</t>
        </is>
      </c>
      <c r="C185" s="2" t="inlineStr">
        <is>
          <t>Triage / core</t>
        </is>
      </c>
      <c r="D185" s="8" t="inlineStr">
        <is>
          <t>P2</t>
        </is>
      </c>
      <c r="E185" s="5" t="inlineStr">
        <is>
          <t>Done</t>
        </is>
      </c>
      <c r="F185" s="2" t="inlineStr">
        <is>
          <t>ground-zero-triage.md:356</t>
        </is>
      </c>
      <c r="G185" s="2" t="inlineStr"/>
    </row>
    <row r="186">
      <c r="A186" s="2" t="inlineStr">
        <is>
          <t>ROUTER-DEFAULT-NO-DEADEND</t>
        </is>
      </c>
      <c r="B186" s="3" t="inlineStr">
        <is>
          <t>SYSTEMIC (same root that bit here): the router default: dumps ANY unmapped db id onto /admin/dynamic-db, a mock that ignores ?open. Any db not in the switch dead-ends the same way (db-expenses today, the next one tomorrow). Fix the fallback to open the record in its REAL database record view inst...</t>
        </is>
      </c>
      <c r="C186" s="2" t="inlineStr">
        <is>
          <t>Triage / core</t>
        </is>
      </c>
      <c r="D186" s="8" t="inlineStr">
        <is>
          <t>P2</t>
        </is>
      </c>
      <c r="E186" s="2" t="inlineStr">
        <is>
          <t>Open</t>
        </is>
      </c>
      <c r="F186" s="2" t="inlineStr">
        <is>
          <t>ground-zero-triage.md:497</t>
        </is>
      </c>
      <c r="G186" s="2" t="inlineStr"/>
    </row>
    <row r="187">
      <c r="A187" s="2" t="inlineStr">
        <is>
          <t>SCAN-EXTRACT-EXPAND</t>
        </is>
      </c>
      <c r="B187" s="3" t="inlineStr">
        <is>
          <t>expand extraction AND wire the new fields end-to-end (extraction that isn't stored/shown is wasted). Three parts:</t>
        </is>
      </c>
      <c r="C187" s="2" t="inlineStr">
        <is>
          <t>Triage / core</t>
        </is>
      </c>
      <c r="D187" s="8" t="inlineStr">
        <is>
          <t>P2</t>
        </is>
      </c>
      <c r="E187" s="2" t="inlineStr">
        <is>
          <t>Open</t>
        </is>
      </c>
      <c r="F187" s="2" t="inlineStr">
        <is>
          <t>ground-zero-triage.md:366</t>
        </is>
      </c>
      <c r="G187" s="2" t="inlineStr"/>
    </row>
    <row r="188">
      <c r="A188" s="2" t="inlineStr">
        <is>
          <t>SCAN-MERCHANT-PREFILL</t>
        </is>
      </c>
      <c r="B188" s="3" t="inlineStr">
        <is>
          <t>merchant is a supplier SearchableSelect (L657, options = existing db-suppliers). OCR sets form.merchant (L234/L250) but if the scanned name isn't already a supplier option, the select renders blank. FIX: accept the scanned value — allow free-text / "create new supplier" (add the scanned name as a...</t>
        </is>
      </c>
      <c r="C188" s="2" t="inlineStr">
        <is>
          <t>Triage / core</t>
        </is>
      </c>
      <c r="D188" s="8" t="inlineStr">
        <is>
          <t>P2</t>
        </is>
      </c>
      <c r="E188" s="5" t="inlineStr">
        <is>
          <t>Done</t>
        </is>
      </c>
      <c r="F188" s="2" t="inlineStr">
        <is>
          <t>ground-zero-triage.md:360</t>
        </is>
      </c>
      <c r="G188" s="2" t="inlineStr"/>
    </row>
    <row r="189">
      <c r="A189" s="2" t="inlineStr">
        <is>
          <t>SCAN-MODAL-RESET</t>
        </is>
      </c>
      <c r="B189" s="3" t="inlineStr">
        <is>
          <t>no reset in the receipt scan modal: pick the wrong file and the ONLY way out is to close the whole modal (Florin 2026-07-12). The reset() fn already exists (TicketCaptureModal.tsx L135-152, clears form/scanResult/previewUrl) — it's just not surfaced as a button in the capture/review steps. FIX: a...</t>
        </is>
      </c>
      <c r="C189" s="2" t="inlineStr">
        <is>
          <t>Triage / core</t>
        </is>
      </c>
      <c r="D189" s="8" t="inlineStr">
        <is>
          <t>P2</t>
        </is>
      </c>
      <c r="E189" s="5" t="inlineStr">
        <is>
          <t>Done</t>
        </is>
      </c>
      <c r="F189" s="2" t="inlineStr">
        <is>
          <t>ground-zero-triage.md:359</t>
        </is>
      </c>
      <c r="G189" s="2" t="inlineStr"/>
    </row>
    <row r="190">
      <c r="A190" s="2" t="inlineStr">
        <is>
          <t>WORKHUB-CLOCK-BTN-STYLE</t>
        </is>
      </c>
      <c r="B190" s="3" t="inlineStr">
        <is>
          <t>stop the clock UI flashing + recolor to brand (Florin 2026-07-12). All in the worker app:</t>
        </is>
      </c>
      <c r="C190" s="2" t="inlineStr">
        <is>
          <t>Triage / core</t>
        </is>
      </c>
      <c r="D190" s="8" t="inlineStr">
        <is>
          <t>P2</t>
        </is>
      </c>
      <c r="E190" s="2" t="inlineStr">
        <is>
          <t>Open</t>
        </is>
      </c>
      <c r="F190" s="2" t="inlineStr">
        <is>
          <t>ground-zero-triage.md:463</t>
        </is>
      </c>
      <c r="G190" s="2" t="inlineStr"/>
    </row>
    <row r="191">
      <c r="A191" s="2" t="inlineStr">
        <is>
          <t>WORKHUB-DIRECTORY-REMOVE</t>
        </is>
      </c>
      <c r="B191" s="3" t="inlineStr">
        <is>
          <t>(Florin confirmed 2026-07-05: "Team Directory removed from workhub app, not HR") — remove the "Team Directory" nav item from the WorkHubShell workforce nav (src/components/workhub/WorkHubShell.tsx, SECONDARY_ITEMS / nav config) and drop the /workhub/team entry from the workforce app. KEEP the HR ...</t>
        </is>
      </c>
      <c r="C191" s="2" t="inlineStr">
        <is>
          <t>Triage / core</t>
        </is>
      </c>
      <c r="D191" s="8" t="inlineStr">
        <is>
          <t>P2</t>
        </is>
      </c>
      <c r="E191" s="5" t="inlineStr">
        <is>
          <t>Done</t>
        </is>
      </c>
      <c r="F191" s="2" t="inlineStr">
        <is>
          <t>ground-zero-triage.md:1105</t>
        </is>
      </c>
      <c r="G191" s="2" t="inlineStr"/>
    </row>
    <row r="192">
      <c r="A192" s="2" t="inlineStr">
        <is>
          <t>WORKHUB-INVITE-MOBILE</t>
        </is>
      </c>
      <c r="B192" s="3" t="inlineStr">
        <is>
          <t>a mobile way to invite a workforce user with a link to log into the app (Florin 2026-07-12). Already built (don't rebuild): POST /api/tenant/users L154-156 already sets the invite base URL to work.coral-group.be for TENANT_ENTERPRISE_WORKFORCE, and accept-invite/page.tsx L98-102 already redirects...</t>
        </is>
      </c>
      <c r="C192" s="2" t="inlineStr">
        <is>
          <t>Triage / core</t>
        </is>
      </c>
      <c r="D192" s="8" t="inlineStr">
        <is>
          <t>P2</t>
        </is>
      </c>
      <c r="E192" s="2" t="inlineStr">
        <is>
          <t>Open</t>
        </is>
      </c>
      <c r="F192" s="2" t="inlineStr">
        <is>
          <t>ground-zero-triage.md:470</t>
        </is>
      </c>
      <c r="G192" s="2" t="inlineStr"/>
    </row>
    <row r="193">
      <c r="A193" s="2" t="inlineStr">
        <is>
          <t>WORKHUB-PERF-SPACE</t>
        </is>
      </c>
      <c r="B193" s="3" t="inlineStr"/>
      <c r="C193" s="2" t="inlineStr">
        <is>
          <t>Triage / core</t>
        </is>
      </c>
      <c r="D193" s="8" t="inlineStr">
        <is>
          <t>P2</t>
        </is>
      </c>
      <c r="E193" s="2" t="inlineStr">
        <is>
          <t>Open</t>
        </is>
      </c>
      <c r="F193" s="2" t="inlineStr">
        <is>
          <t>ground-zero-triage.md:456</t>
        </is>
      </c>
      <c r="G193" s="2" t="inlineStr"/>
    </row>
    <row r="194">
      <c r="A194" s="2" t="inlineStr">
        <is>
          <t>WORKHUB-SCHEDULE-DUP</t>
        </is>
      </c>
      <c r="B194" s="3" t="inlineStr">
        <is>
          <t>"My Schedule" is shown twice on the WorkHub home (Planner-verified LIVE 2026-07-05): the main &lt;MySchedule/&gt; section (WF-1) AND a hardcoded "My Schedule" Quick Access card (QuickLinks.tsx L127-182, which sits on "Loading…" on /workhub). Redundant. FIX: remove the hardcoded My Schedule card from Qu...</t>
        </is>
      </c>
      <c r="C194" s="2" t="inlineStr">
        <is>
          <t>Triage / core</t>
        </is>
      </c>
      <c r="D194" s="8" t="inlineStr">
        <is>
          <t>P2</t>
        </is>
      </c>
      <c r="E194" s="5" t="inlineStr">
        <is>
          <t>Done</t>
        </is>
      </c>
      <c r="F194" s="2" t="inlineStr">
        <is>
          <t>ground-zero-triage.md:1108</t>
        </is>
      </c>
      <c r="G194" s="2" t="inlineStr"/>
    </row>
    <row r="195">
      <c r="A195" s="2" t="inlineStr">
        <is>
          <t>WORKHUB-SCHEDULE-TAB</t>
        </is>
      </c>
      <c r="B195" s="3" t="inlineStr">
        <is>
          <t>the separate "Schedule" nav tab is still in the WorkHubShell top nav (Planner-verified LIVE 2026-07-05 on /workhub), despite WF-1 making the planned-shifts list the home. Florin: "schedule as homepage, not a separate tab." FIX: in src/components/workhub/WorkHubShell.tsx remove the { id: 'schedule...</t>
        </is>
      </c>
      <c r="C195" s="2" t="inlineStr">
        <is>
          <t>Triage / core</t>
        </is>
      </c>
      <c r="D195" s="8" t="inlineStr">
        <is>
          <t>P2</t>
        </is>
      </c>
      <c r="E195" s="5" t="inlineStr">
        <is>
          <t>Done</t>
        </is>
      </c>
      <c r="F195" s="2" t="inlineStr">
        <is>
          <t>ground-zero-triage.md:1109</t>
        </is>
      </c>
      <c r="G195" s="2" t="inlineStr"/>
    </row>
    <row r="196">
      <c r="A196" s="2" t="inlineStr">
        <is>
          <t>WORKHUB-SITEVISIT-OWNER-ONLY</t>
        </is>
      </c>
      <c r="B196" s="3" t="inlineStr">
        <is>
          <t>the "Record Site Visit" feature must NOT be visible to workforce for now (Florin 2026-07-12: "site visit is for me at the moment; if it becomes tenant-scoped later it'll ship as a bonus/ungated update — for now workforce is not to see it available"). src/components/time-tracker/pages/Index.tsx L5...</t>
        </is>
      </c>
      <c r="C196" s="2" t="inlineStr">
        <is>
          <t>Triage / core</t>
        </is>
      </c>
      <c r="D196" s="8" t="inlineStr">
        <is>
          <t>P2</t>
        </is>
      </c>
      <c r="E196" s="2" t="inlineStr">
        <is>
          <t>Open</t>
        </is>
      </c>
      <c r="F196" s="2" t="inlineStr">
        <is>
          <t>ground-zero-triage.md:484</t>
        </is>
      </c>
      <c r="G196" s="2" t="inlineStr"/>
    </row>
    <row r="197">
      <c r="A197" s="2" t="inlineStr">
        <is>
          <t>—</t>
        </is>
      </c>
      <c r="B197" s="3" t="inlineStr">
        <is>
          <t>HR-5 (ops, Florin) — extend the PITR window beyond 6 h and set a snapshot schedule (currently manual). A 6-hour recovery window is thin for live invoicing.</t>
        </is>
      </c>
      <c r="C197" s="2" t="inlineStr">
        <is>
          <t>Triage / core</t>
        </is>
      </c>
      <c r="D197" s="8" t="inlineStr">
        <is>
          <t>P2</t>
        </is>
      </c>
      <c r="E197" s="2" t="inlineStr">
        <is>
          <t>Open</t>
        </is>
      </c>
      <c r="F197" s="2" t="inlineStr">
        <is>
          <t>ground-zero-triage.md:281</t>
        </is>
      </c>
      <c r="G197" s="2" t="inlineStr"/>
    </row>
    <row r="198">
      <c r="A198" s="2" t="inlineStr">
        <is>
          <t>—</t>
        </is>
      </c>
      <c r="B198" s="3" t="inlineStr">
        <is>
          <t>HR-6 (process) — the schema change was applied via prisma db push (only one migration file exists, from 27 Jun, yet the new ClockEntry columns are live). Close the loophole: no agent runs ANY schema-mutating prisma command (db push, migrate dev/reset, --force-reset, --accept-data-loss) against AN...</t>
        </is>
      </c>
      <c r="C198" s="2" t="inlineStr">
        <is>
          <t>Triage / core</t>
        </is>
      </c>
      <c r="D198" s="8" t="inlineStr">
        <is>
          <t>P2</t>
        </is>
      </c>
      <c r="E198" s="2" t="inlineStr">
        <is>
          <t>Open</t>
        </is>
      </c>
      <c r="F198" s="2" t="inlineStr">
        <is>
          <t>ground-zero-triage.md:282</t>
        </is>
      </c>
      <c r="G198" s="2" t="inlineStr"/>
    </row>
    <row r="199">
      <c r="A199" s="2" t="inlineStr">
        <is>
          <t>PROJ-4</t>
        </is>
      </c>
      <c r="B199" s="3" t="inlineStr">
        <is>
          <t>PROJ-DOC-ROLLUP (coral-purchase-orders.md Part 3): one panel listing every linked document with status + amount, each opening its record; the revenue/cost ladders above it. Reads from the relations that already exist on the project.</t>
        </is>
      </c>
      <c r="C199" s="2" t="inlineStr">
        <is>
          <t>Projects</t>
        </is>
      </c>
      <c r="D199" s="9" t="inlineStr">
        <is>
          <t>P3</t>
        </is>
      </c>
      <c r="E199" s="2" t="inlineStr">
        <is>
          <t>Open</t>
        </is>
      </c>
      <c r="F199" s="2" t="inlineStr">
        <is>
          <t>coral-project-module.md:32</t>
        </is>
      </c>
      <c r="G199" s="2" t="inlineStr"/>
    </row>
    <row r="200">
      <c r="A200" s="2" t="inlineStr">
        <is>
          <t>A3</t>
        </is>
      </c>
      <c r="B200" s="3" t="inlineStr">
        <is>
          <t>when a shift exists, the big button clocks INTO the next scheduled shift (set ClockEntry.shiftId); start/stop from inside the shift card; live timer reads the active entry.</t>
        </is>
      </c>
      <c r="C200" s="2" t="inlineStr">
        <is>
          <t>Triage / core</t>
        </is>
      </c>
      <c r="D200" s="9" t="inlineStr">
        <is>
          <t>P3</t>
        </is>
      </c>
      <c r="E200" s="5" t="inlineStr">
        <is>
          <t>Done</t>
        </is>
      </c>
      <c r="F200" s="2" t="inlineStr">
        <is>
          <t>ground-zero-triage.md:718</t>
        </is>
      </c>
      <c r="G200" s="2" t="inlineStr"/>
    </row>
    <row r="201">
      <c r="A201" s="2" t="inlineStr">
        <is>
          <t>A4</t>
        </is>
      </c>
      <c r="B201" s="3" t="inlineStr">
        <is>
          <t>leave requests must persist real dates (currently save/display "Unknown Date").</t>
        </is>
      </c>
      <c r="C201" s="2" t="inlineStr">
        <is>
          <t>Triage / core</t>
        </is>
      </c>
      <c r="D201" s="9" t="inlineStr">
        <is>
          <t>P3</t>
        </is>
      </c>
      <c r="E201" s="5" t="inlineStr">
        <is>
          <t>Done</t>
        </is>
      </c>
      <c r="F201" s="2" t="inlineStr">
        <is>
          <t>ground-zero-triage.md:719</t>
        </is>
      </c>
      <c r="G201" s="2" t="inlineStr"/>
    </row>
    <row r="202">
      <c r="A202" s="2" t="inlineStr">
        <is>
          <t>WORKHUB-SESSION-ROLE-EMPTY</t>
        </is>
      </c>
      <c r="B202" s="3" t="inlineStr">
        <is>
          <t>SECONDARY (visible in same screenshot): nav shows Projects + Company Wiki and the name reads "User" → session?.user?.role is empty for Andrei. FIX VERIFIED: DB record is TENANT_ENTERPRISE_WORKFORCE and auth.ts surfaces role. (Ties to R01/R02.)</t>
        </is>
      </c>
      <c r="C202" s="2" t="inlineStr">
        <is>
          <t>Triage / core</t>
        </is>
      </c>
      <c r="D202" s="9" t="inlineStr">
        <is>
          <t>P3</t>
        </is>
      </c>
      <c r="E202" s="5" t="inlineStr">
        <is>
          <t>Done</t>
        </is>
      </c>
      <c r="F202" s="2" t="inlineStr">
        <is>
          <t>ground-zero-triage.md:680</t>
        </is>
      </c>
      <c r="G202" s="2" t="inlineStr"/>
    </row>
    <row r="203">
      <c r="A203" s="2" t="inlineStr">
        <is>
          <t>UI-INSTALLED-PWA-JUMP</t>
        </is>
      </c>
      <c r="B203" s="3" t="inlineStr">
        <is>
          <t>Installed webapp loads and on click all screen graphics jump up by ~20px</t>
        </is>
      </c>
      <c r="C203" s="2" t="inlineStr">
        <is>
          <t>Mobile / PWA</t>
        </is>
      </c>
      <c r="D203" s="10" t="inlineStr">
        <is>
          <t>P4</t>
        </is>
      </c>
      <c r="E203" s="18" t="inlineStr">
        <is>
          <t>Dropped</t>
        </is>
      </c>
      <c r="F203" s="2" t="inlineStr">
        <is>
          <t>Florin 2026-09-09</t>
        </is>
      </c>
      <c r="G203" s="2" t="inlineStr">
        <is>
          <t>Folded into TASK-M7</t>
        </is>
      </c>
    </row>
    <row r="204">
      <c r="A204" s="11" t="inlineStr">
        <is>
          <t>MAIL-1</t>
        </is>
      </c>
      <c r="B204" s="11" t="inlineStr">
        <is>
          <t>THE ERROR MUST CARRY ITS OWN IDENTITY — send-invoice/send-quote catch must never fall back to a constant string</t>
        </is>
      </c>
      <c r="C204" s="11" t="inlineStr">
        <is>
          <t>Email dispatch</t>
        </is>
      </c>
      <c r="D204" s="12" t="inlineStr">
        <is>
          <t>P0</t>
        </is>
      </c>
      <c r="E204" s="16" t="inlineStr">
        <is>
          <t>Done</t>
        </is>
      </c>
      <c r="F204" s="11" t="inlineStr">
        <is>
          <t>coral-blob-read-and-error-surfacing.md</t>
        </is>
      </c>
      <c r="G204" s="11" t="inlineStr">
        <is>
          <t>Planner-verified in code 2026-09-12</t>
        </is>
      </c>
    </row>
    <row r="205">
      <c r="A205" s="11" t="inlineStr">
        <is>
          <t>MAIL-2</t>
        </is>
      </c>
      <c r="B205" s="11" t="inlineStr">
        <is>
          <t>storage.read() cannot read a PRIVATE blob — uses list()+unauthenticated fetch; must use get(key,{token,access:private}) like /api/files does</t>
        </is>
      </c>
      <c r="C205" s="11" t="inlineStr">
        <is>
          <t>Email dispatch</t>
        </is>
      </c>
      <c r="D205" s="12" t="inlineStr">
        <is>
          <t>P0</t>
        </is>
      </c>
      <c r="E205" s="15" t="inlineStr">
        <is>
          <t>Dropped</t>
        </is>
      </c>
      <c r="F205" s="11" t="inlineStr">
        <is>
          <t>coral-mail-dispatch-diagnostics.md</t>
        </is>
      </c>
      <c r="G205" s="11" t="inlineStr">
        <is>
          <t>Absorbed into BLOB-1</t>
        </is>
      </c>
    </row>
    <row r="206">
      <c r="A206" s="11" t="inlineStr">
        <is>
          <t>MAIL-3</t>
        </is>
      </c>
      <c r="B206" s="11" t="inlineStr">
        <is>
          <t>Confirm which cause it was — Florin sends once after MAIL-1; toast names it</t>
        </is>
      </c>
      <c r="C206" s="11" t="inlineStr">
        <is>
          <t>Email dispatch</t>
        </is>
      </c>
      <c r="D206" s="13" t="inlineStr">
        <is>
          <t>P1</t>
        </is>
      </c>
      <c r="E206" s="16" t="inlineStr">
        <is>
          <t>Done</t>
        </is>
      </c>
      <c r="F206" s="11" t="inlineStr">
        <is>
          <t>coral-blob-read-and-error-surfacing.md</t>
        </is>
      </c>
      <c r="G206" s="11" t="inlineStr">
        <is>
          <t>Florin-confirmed 2026-09-12: sent + received OK. Cause was BLOB-1.</t>
        </is>
      </c>
    </row>
    <row r="207">
      <c r="A207" s="11" t="inlineStr">
        <is>
          <t>MAIL-4</t>
        </is>
      </c>
      <c r="B207" s="11" t="inlineStr">
        <is>
          <t>Sweep the other 6 constant-string toast.error sites to append the caught error</t>
        </is>
      </c>
      <c r="C207" s="11" t="inlineStr">
        <is>
          <t>Email dispatch</t>
        </is>
      </c>
      <c r="D207" s="14" t="inlineStr">
        <is>
          <t>P2</t>
        </is>
      </c>
      <c r="E207" s="16" t="inlineStr">
        <is>
          <t>Done</t>
        </is>
      </c>
      <c r="F207" s="11" t="inlineStr">
        <is>
          <t>coral-blob-read-and-error-surfacing.md</t>
        </is>
      </c>
      <c r="G207" s="11" t="inlineStr">
        <is>
          <t>Planner-verified in code 2026-09-12</t>
        </is>
      </c>
    </row>
    <row r="208">
      <c r="A208" s="11" t="inlineStr">
        <is>
          <t>BLOB-1</t>
        </is>
      </c>
      <c r="B208" s="11" t="inlineStr">
        <is>
          <t>Fix storage.read() — use get(key,{token,access:private}) + streamToBuffer; the list()+unauthenticated fetch cannot work on private blobs</t>
        </is>
      </c>
      <c r="C208" s="11" t="inlineStr">
        <is>
          <t>Storage / Blob</t>
        </is>
      </c>
      <c r="D208" s="12" t="inlineStr">
        <is>
          <t>P0</t>
        </is>
      </c>
      <c r="E208" s="16" t="inlineStr">
        <is>
          <t>Done</t>
        </is>
      </c>
      <c r="F208" s="11" t="inlineStr">
        <is>
          <t>coral-blob-read-and-error-surfacing.md</t>
        </is>
      </c>
      <c r="G208" s="11" t="inlineStr">
        <is>
          <t>Planner-verified in code 2026-09-12</t>
        </is>
      </c>
    </row>
    <row r="209">
      <c r="A209" s="11" t="inlineStr">
        <is>
          <t>BLOB-4</t>
        </is>
      </c>
      <c r="B209" s="11" t="inlineStr">
        <is>
          <t>Accountant export STRICT/all-or-nothing — read-all, verify-all, build ZIP, then stamp. Any unreadable document aborts the export; nothing stamped.</t>
        </is>
      </c>
      <c r="C209" s="11" t="inlineStr">
        <is>
          <t>Storage / Blob</t>
        </is>
      </c>
      <c r="D209" s="12" t="inlineStr">
        <is>
          <t>P0</t>
        </is>
      </c>
      <c r="E209" s="16" t="inlineStr">
        <is>
          <t>Done</t>
        </is>
      </c>
      <c r="F209" s="11" t="inlineStr">
        <is>
          <t>coral-blob-read-and-error-surfacing.md</t>
        </is>
      </c>
      <c r="G209" s="11" t="inlineStr">
        <is>
          <t>STRICT CONFIRMED SAFE by census — no E/F rows exist</t>
        </is>
      </c>
    </row>
    <row r="210">
      <c r="A210" s="11" t="inlineStr">
        <is>
          <t>BLOB-2</t>
        </is>
      </c>
      <c r="B210" s="11" t="inlineStr">
        <is>
          <t>financials/export fetchBlobFile() must call storage.read() — delete the local third copy</t>
        </is>
      </c>
      <c r="C210" s="11" t="inlineStr">
        <is>
          <t>Storage / Blob</t>
        </is>
      </c>
      <c r="D210" s="13" t="inlineStr">
        <is>
          <t>P1</t>
        </is>
      </c>
      <c r="E210" s="16" t="inlineStr">
        <is>
          <t>Done</t>
        </is>
      </c>
      <c r="F210" s="11" t="inlineStr">
        <is>
          <t>coral-blob-read-and-error-surfacing.md</t>
        </is>
      </c>
      <c r="G210" s="11" t="inlineStr">
        <is>
          <t>Planner-verified in code 2026-09-12</t>
        </is>
      </c>
    </row>
    <row r="211">
      <c r="A211" s="11" t="inlineStr">
        <is>
          <t>BLOB-3</t>
        </is>
      </c>
      <c r="B211" s="11" t="inlineStr">
        <is>
          <t>Close the door — only lib/storage may import @vercel/blob (one documented exception: /api/files streaming route)</t>
        </is>
      </c>
      <c r="C211" s="11" t="inlineStr">
        <is>
          <t>Storage / Blob</t>
        </is>
      </c>
      <c r="D211" s="13" t="inlineStr">
        <is>
          <t>P1</t>
        </is>
      </c>
      <c r="E211" s="16" t="inlineStr">
        <is>
          <t>Done</t>
        </is>
      </c>
      <c r="F211" s="11" t="inlineStr">
        <is>
          <t>coral-blob-read-and-error-surfacing.md</t>
        </is>
      </c>
      <c r="G211" s="11" t="inlineStr">
        <is>
          <t>Planner-verified in code 2026-09-12</t>
        </is>
      </c>
    </row>
    <row r="212">
      <c r="A212" s="11" t="inlineStr">
        <is>
          <t>BLOB-5</t>
        </is>
      </c>
      <c r="B212" s="11" t="inlineStr">
        <is>
          <t>tests/storage-contract.test.ts — a missing key must throw, not return empty</t>
        </is>
      </c>
      <c r="C212" s="11" t="inlineStr">
        <is>
          <t>Storage / Blob</t>
        </is>
      </c>
      <c r="D212" s="13" t="inlineStr">
        <is>
          <t>P1</t>
        </is>
      </c>
      <c r="E212" s="16" t="inlineStr">
        <is>
          <t>Done</t>
        </is>
      </c>
      <c r="F212" s="11" t="inlineStr">
        <is>
          <t>coral-blob-read-and-error-surfacing.md</t>
        </is>
      </c>
      <c r="G212" s="11" t="inlineStr">
        <is>
          <t>Planner-verified in code 2026-09-12</t>
        </is>
      </c>
    </row>
    <row r="213">
      <c r="A213" s="11" t="inlineStr">
        <is>
          <t>BLOB-0</t>
        </is>
      </c>
      <c r="B213" s="11" t="inlineStr">
        <is>
          <t>CENSUS (read-only, gates BLOB-4): count db-invoices/db-expenses records whose receiptUrl does not start with t_ — legacy full-URL values</t>
        </is>
      </c>
      <c r="C213" s="11" t="inlineStr">
        <is>
          <t>Storage / Blob</t>
        </is>
      </c>
      <c r="D213" s="12" t="inlineStr">
        <is>
          <t>P0</t>
        </is>
      </c>
      <c r="E213" s="16" t="inlineStr">
        <is>
          <t>Done</t>
        </is>
      </c>
      <c r="F213" s="11" t="inlineStr">
        <is>
          <t>coral-blob-read-and-error-surfacing.md</t>
        </is>
      </c>
      <c r="G213" s="11" t="inlineStr">
        <is>
          <t>Run 2026-09-12: A=128 (71 stamped), B=50 (21 stamped). ZERO legacy URLs, zero encoding risk</t>
        </is>
      </c>
    </row>
    <row r="214">
      <c r="A214" s="11" t="inlineStr">
        <is>
          <t>BLOB-6</t>
        </is>
      </c>
      <c r="B214" s="11" t="inlineStr">
        <is>
          <t>resolveDocumentKey does not decodeURIComponent — a legacy URL for a filename with spaces (plan 2.pdf) resolves to a percent-encoded key and will not read</t>
        </is>
      </c>
      <c r="C214" s="11" t="inlineStr">
        <is>
          <t>Storage / Blob</t>
        </is>
      </c>
      <c r="D214" s="17" t="inlineStr">
        <is>
          <t>P3</t>
        </is>
      </c>
      <c r="E214" s="11" t="inlineStr">
        <is>
          <t>Open</t>
        </is>
      </c>
      <c r="F214" s="11" t="inlineStr">
        <is>
          <t>coral-blob-read-and-error-surfacing.md</t>
        </is>
      </c>
      <c r="G214" s="11" t="inlineStr">
        <is>
          <t>Census: 0 affected rows — decode path unreachable. Parked, not closed</t>
        </is>
      </c>
    </row>
    <row r="215">
      <c r="A215" s="11" t="inlineStr">
        <is>
          <t>I18N-MISSING-KEYS</t>
        </is>
      </c>
      <c r="B215" s="11" t="inlineStr">
        <is>
          <t>i18n test fails: ~16 keys referenced in source but absent from messages (incl. 3x Hr.timesheets.*, Admin.portals.placeholders.*, Admin.status.*)</t>
        </is>
      </c>
      <c r="C215" s="11" t="inlineStr">
        <is>
          <t>i18n</t>
        </is>
      </c>
      <c r="D215" s="13" t="inlineStr">
        <is>
          <t>P1</t>
        </is>
      </c>
      <c r="E215" s="11" t="inlineStr">
        <is>
          <t>Open</t>
        </is>
      </c>
      <c r="F215" s="11" t="inlineStr">
        <is>
          <t>tests/i18n.test.ts</t>
        </is>
      </c>
      <c r="G215" s="11" t="inlineStr">
        <is>
          <t>Harness caught it</t>
        </is>
      </c>
    </row>
    <row r="216">
      <c r="A216" s="11" t="inlineStr">
        <is>
          <t>TEST-DIR-GLOB</t>
        </is>
      </c>
      <c r="B216" s="11" t="inlineStr">
        <is>
          <t>Harness regression: --test tests/ now throws ERR_UNSUPPORTED_DIR_IMPORT; must use --test "tests/*.test.ts". Update tests/README.md</t>
        </is>
      </c>
      <c r="C216" s="11" t="inlineStr">
        <is>
          <t>Test harness</t>
        </is>
      </c>
      <c r="D216" s="14" t="inlineStr">
        <is>
          <t>P2</t>
        </is>
      </c>
      <c r="E216" s="11" t="inlineStr">
        <is>
          <t>Open</t>
        </is>
      </c>
      <c r="F216" s="11" t="inlineStr">
        <is>
          <t>tests/README.md</t>
        </is>
      </c>
      <c r="G216" s="11" t="inlineStr"/>
    </row>
    <row r="217">
      <c r="A217" s="11" t="inlineStr">
        <is>
          <t>SEC-TEST-ROUTE</t>
        </is>
      </c>
      <c r="B217" s="11" t="inlineStr">
        <is>
          <t>DELETE /api/test-payment-plan — unauthenticated GET that finds ANY tenant quotation and writes to it. Scratch file shipped to production</t>
        </is>
      </c>
      <c r="C217" s="11" t="inlineStr">
        <is>
          <t>Tenancy (R1)</t>
        </is>
      </c>
      <c r="D217" s="12" t="inlineStr">
        <is>
          <t>P0</t>
        </is>
      </c>
      <c r="E217" s="15" t="inlineStr">
        <is>
          <t>Dropped</t>
        </is>
      </c>
      <c r="F217" s="11" t="inlineStr">
        <is>
          <t>coral-systems-pass.md</t>
        </is>
      </c>
      <c r="G217" s="11" t="inlineStr">
        <is>
          <t>Expanded into numbered R-items</t>
        </is>
      </c>
    </row>
    <row r="218">
      <c r="A218" s="11" t="inlineStr">
        <is>
          <t>R1-TENANT-BOUNDARY</t>
        </is>
      </c>
      <c r="B218" s="11" t="inlineStr">
        <is>
          <t>Tenant-scoped data accessor is the only door to GlobalPage/GlobalDatabase; tenant derived from session, never an argument; direct prisma access outside it fails CI</t>
        </is>
      </c>
      <c r="C218" s="11" t="inlineStr">
        <is>
          <t>Tenancy (R1)</t>
        </is>
      </c>
      <c r="D218" s="12" t="inlineStr">
        <is>
          <t>P0</t>
        </is>
      </c>
      <c r="E218" s="15" t="inlineStr">
        <is>
          <t>Dropped</t>
        </is>
      </c>
      <c r="F218" s="11" t="inlineStr">
        <is>
          <t>coral-systems-pass.md</t>
        </is>
      </c>
      <c r="G218" s="11" t="inlineStr">
        <is>
          <t>Expanded into numbered R-items</t>
        </is>
      </c>
    </row>
    <row r="219">
      <c r="A219" s="11" t="inlineStr">
        <is>
          <t>R1-CRON-VAT-SCOPE</t>
        </is>
      </c>
      <c r="B219" s="11" t="inlineStr">
        <is>
          <t>cron/vat-backfill findMany spans ALL tenants and writes VAT figures — tenant-blind by construction</t>
        </is>
      </c>
      <c r="C219" s="11" t="inlineStr">
        <is>
          <t>Tenancy (R1)</t>
        </is>
      </c>
      <c r="D219" s="12" t="inlineStr">
        <is>
          <t>P0</t>
        </is>
      </c>
      <c r="E219" s="15" t="inlineStr">
        <is>
          <t>Dropped</t>
        </is>
      </c>
      <c r="F219" s="11" t="inlineStr">
        <is>
          <t>coral-systems-pass.md</t>
        </is>
      </c>
      <c r="G219" s="11" t="inlineStr">
        <is>
          <t>Expanded into numbered R-items</t>
        </is>
      </c>
    </row>
    <row r="220">
      <c r="A220" s="11" t="inlineStr">
        <is>
          <t>R1-SYSTEM-WRITER</t>
        </is>
      </c>
      <c r="B220" s="11" t="inlineStr">
        <is>
          <t>Named system accessor for cron/webhook/service writes — still tenant-bound, structurally tagged (makes OCC-2 tagging non-optional)</t>
        </is>
      </c>
      <c r="C220" s="11" t="inlineStr">
        <is>
          <t>Tenancy (R1)</t>
        </is>
      </c>
      <c r="D220" s="13" t="inlineStr">
        <is>
          <t>P1</t>
        </is>
      </c>
      <c r="E220" s="15" t="inlineStr">
        <is>
          <t>Dropped</t>
        </is>
      </c>
      <c r="F220" s="11" t="inlineStr">
        <is>
          <t>coral-systems-pass.md</t>
        </is>
      </c>
      <c r="G220" s="11" t="inlineStr">
        <is>
          <t>Expanded into numbered R-items</t>
        </is>
      </c>
    </row>
    <row r="221">
      <c r="A221" s="11" t="inlineStr">
        <is>
          <t>R2-ONE-WRITE-PATH</t>
        </is>
      </c>
      <c r="B221" s="11" t="inlineStr">
        <is>
          <t>One way a record change reaches the DB; one authority on current state. Absorbs OCC/sync-queue/server-first/persist</t>
        </is>
      </c>
      <c r="C221" s="11" t="inlineStr">
        <is>
          <t>Persistence (R2)</t>
        </is>
      </c>
      <c r="D221" s="12" t="inlineStr">
        <is>
          <t>P0</t>
        </is>
      </c>
      <c r="E221" s="15" t="inlineStr">
        <is>
          <t>Dropped</t>
        </is>
      </c>
      <c r="F221" s="11" t="inlineStr">
        <is>
          <t>coral-systems-pass.md</t>
        </is>
      </c>
      <c r="G221" s="11" t="inlineStr">
        <is>
          <t>Expanded into numbered R-items</t>
        </is>
      </c>
    </row>
    <row r="222">
      <c r="A222" s="11" t="inlineStr">
        <is>
          <t>R3-GRID</t>
        </is>
      </c>
      <c r="B222" s="11" t="inlineStr">
        <is>
          <t>Grid completion — cell commits its own field only (N1 race); view state persists. NOTE: leaf of R2, sequence after it</t>
        </is>
      </c>
      <c r="C222" s="11" t="inlineStr">
        <is>
          <t>Record surface (R3)</t>
        </is>
      </c>
      <c r="D222" s="13" t="inlineStr">
        <is>
          <t>P1</t>
        </is>
      </c>
      <c r="E222" s="15" t="inlineStr">
        <is>
          <t>Dropped</t>
        </is>
      </c>
      <c r="F222" s="11" t="inlineStr">
        <is>
          <t>coral-systems-pass.md</t>
        </is>
      </c>
      <c r="G222" s="11" t="inlineStr">
        <is>
          <t>Expanded into numbered R-items</t>
        </is>
      </c>
    </row>
    <row r="223">
      <c r="A223" s="11" t="inlineStr">
        <is>
          <t>R4-ENGINE-ONE-READER</t>
        </is>
      </c>
      <c r="B223" s="11" t="inlineStr">
        <is>
          <t>Blocks are the document: one reader across quote/invoice/purchase/portal; totals derived once</t>
        </is>
      </c>
      <c r="C223" s="11" t="inlineStr">
        <is>
          <t>Document engine (R4)</t>
        </is>
      </c>
      <c r="D223" s="13" t="inlineStr">
        <is>
          <t>P1</t>
        </is>
      </c>
      <c r="E223" s="15" t="inlineStr">
        <is>
          <t>Dropped</t>
        </is>
      </c>
      <c r="F223" s="11" t="inlineStr">
        <is>
          <t>coral-systems-pass.md</t>
        </is>
      </c>
      <c r="G223" s="11" t="inlineStr">
        <is>
          <t>Expanded into numbered R-items</t>
        </is>
      </c>
    </row>
    <row r="224">
      <c r="A224" s="11" t="inlineStr">
        <is>
          <t>R1-0</t>
        </is>
      </c>
      <c r="B224" s="11" t="inlineStr">
        <is>
          <t>DELETE /api/test-payment-plan — unauthenticated cross-tenant write</t>
        </is>
      </c>
      <c r="C224" s="11" t="inlineStr">
        <is>
          <t>Tenancy (R1)</t>
        </is>
      </c>
      <c r="D224" s="12" t="inlineStr">
        <is>
          <t>P0</t>
        </is>
      </c>
      <c r="E224" s="16" t="inlineStr">
        <is>
          <t>Done</t>
        </is>
      </c>
      <c r="F224" s="11" t="inlineStr">
        <is>
          <t>coral-r1-tenancy.md</t>
        </is>
      </c>
      <c r="G224" s="11" t="inlineStr">
        <is>
          <t>Verified deleted 2026-09-12</t>
        </is>
      </c>
    </row>
    <row r="225">
      <c r="A225" s="11" t="inlineStr">
        <is>
          <t>R1-1b</t>
        </is>
      </c>
      <c r="B225" s="11" t="inlineStr">
        <is>
          <t>SEPARATE THE TWO FACTS: add logicalKey to GlobalDatabase; type questions ask logicalKey, identity uses the id. Retires 55 startsWith(db-) prefix matches as a class</t>
        </is>
      </c>
      <c r="C225" s="11" t="inlineStr">
        <is>
          <t>Tenancy (R1)</t>
        </is>
      </c>
      <c r="D225" s="12" t="inlineStr">
        <is>
          <t>P0</t>
        </is>
      </c>
      <c r="E225" s="11" t="inlineStr">
        <is>
          <t>Open</t>
        </is>
      </c>
      <c r="F225" s="11" t="inlineStr">
        <is>
          <t>coral-r1-tenancy.md</t>
        </is>
      </c>
      <c r="G225" s="11" t="inlineStr">
        <is>
          <t>[P3.2] Backfill source: getBaseDbId(id) — exact, already exists</t>
        </is>
      </c>
    </row>
    <row r="226">
      <c r="A226" s="11" t="inlineStr">
        <is>
          <t>R1-2</t>
        </is>
      </c>
      <c r="B226" s="11" t="inlineStr">
        <is>
          <t>ONE CANONICAL RESOLVER, FAIL-CLOSED: resolveDatabaseId is a lockedDbIds lookup; unknown key throws. Delete the (base)=&gt;base pass-through and the string-archaeology inference</t>
        </is>
      </c>
      <c r="C226" s="11" t="inlineStr">
        <is>
          <t>Tenancy (R1)</t>
        </is>
      </c>
      <c r="D226" s="12" t="inlineStr">
        <is>
          <t>P0</t>
        </is>
      </c>
      <c r="E226" s="11" t="inlineStr">
        <is>
          <t>Open</t>
        </is>
      </c>
      <c r="F226" s="11" t="inlineStr">
        <is>
          <t>coral-r1-tenancy.md</t>
        </is>
      </c>
      <c r="G226" s="11" t="inlineStr">
        <is>
          <t>[P3.3] Was: denormalise tenantId column — WITHDRAWN</t>
        </is>
      </c>
    </row>
    <row r="227">
      <c r="A227" s="11" t="inlineStr">
        <is>
          <t>R1-3</t>
        </is>
      </c>
      <c r="B227" s="11" t="inlineStr">
        <is>
          <t>SERVER NEVER TRUSTS A SUPPLIED ID: resolve from session tenant, or verify the supplied id belongs to it. Pages scope as databaseId IN (tenant ids) — no join, no column</t>
        </is>
      </c>
      <c r="C227" s="11" t="inlineStr">
        <is>
          <t>Tenancy (R1)</t>
        </is>
      </c>
      <c r="D227" s="12" t="inlineStr">
        <is>
          <t>P0</t>
        </is>
      </c>
      <c r="E227" s="11" t="inlineStr">
        <is>
          <t>Open</t>
        </is>
      </c>
      <c r="F227" s="11" t="inlineStr">
        <is>
          <t>coral-r1-tenancy.md</t>
        </is>
      </c>
      <c r="G227" s="11" t="inlineStr">
        <is>
          <t>[P3.4] Revised after Florin review 2026-09-12</t>
        </is>
      </c>
    </row>
    <row r="228">
      <c r="A228" s="11" t="inlineStr">
        <is>
          <t>R1-4</t>
        </is>
      </c>
      <c r="B228" s="11" t="inlineStr">
        <is>
          <t>THE ONLY DOOR: lib/data/tenant-scope.ts accessor; tenant from session, never a parameter; Prisma extension fails closed</t>
        </is>
      </c>
      <c r="C228" s="11" t="inlineStr">
        <is>
          <t>Tenancy (R1)</t>
        </is>
      </c>
      <c r="D228" s="12" t="inlineStr">
        <is>
          <t>P0</t>
        </is>
      </c>
      <c r="E228" s="11" t="inlineStr">
        <is>
          <t>Open</t>
        </is>
      </c>
      <c r="F228" s="11" t="inlineStr">
        <is>
          <t>coral-r1-tenancy.md</t>
        </is>
      </c>
      <c r="G228" s="11" t="inlineStr">
        <is>
          <t>[P3.5] Revised after Florin review 2026-09-12</t>
        </is>
      </c>
    </row>
    <row r="229">
      <c r="A229" s="11" t="inlineStr">
        <is>
          <t>R1-5</t>
        </is>
      </c>
      <c r="B229" s="11" t="inlineStr">
        <is>
          <t>CLOSE THE DOOR: direct prisma on tenant models outside lib/data fails CI. Prove it goes red</t>
        </is>
      </c>
      <c r="C229" s="11" t="inlineStr">
        <is>
          <t>Tenancy (R1)</t>
        </is>
      </c>
      <c r="D229" s="12" t="inlineStr">
        <is>
          <t>P0</t>
        </is>
      </c>
      <c r="E229" s="11" t="inlineStr">
        <is>
          <t>Open</t>
        </is>
      </c>
      <c r="F229" s="11" t="inlineStr">
        <is>
          <t>coral-r1-tenancy.md</t>
        </is>
      </c>
      <c r="G229" s="11" t="inlineStr">
        <is>
          <t>[P3.5] Revised after Florin review 2026-09-12</t>
        </is>
      </c>
    </row>
    <row r="230">
      <c r="A230" s="11" t="inlineStr">
        <is>
          <t>R1-6</t>
        </is>
      </c>
      <c r="B230" s="11" t="inlineStr">
        <is>
          <t>systemScope(tenantId, reason) for cron/webhook/service; vat-backfill iterates tenants; audit the other 6 system writers</t>
        </is>
      </c>
      <c r="C230" s="11" t="inlineStr">
        <is>
          <t>Tenancy (R1)</t>
        </is>
      </c>
      <c r="D230" s="13" t="inlineStr">
        <is>
          <t>P1</t>
        </is>
      </c>
      <c r="E230" s="11" t="inlineStr">
        <is>
          <t>Open</t>
        </is>
      </c>
      <c r="F230" s="11" t="inlineStr">
        <is>
          <t>coral-r1-tenancy.md</t>
        </is>
      </c>
      <c r="G230" s="11" t="inlineStr">
        <is>
          <t>[P3.6] Revised after Florin review 2026-09-12</t>
        </is>
      </c>
    </row>
    <row r="231">
      <c r="A231" s="11" t="inlineStr">
        <is>
          <t>R2-5</t>
        </is>
      </c>
      <c r="B231" s="11" t="inlineStr">
        <is>
          <t>Characterization tests for the write path BEFORE refactor: OCC cases, field merge, single-flight, dirty-page</t>
        </is>
      </c>
      <c r="C231" s="11" t="inlineStr">
        <is>
          <t>Persistence (R2)</t>
        </is>
      </c>
      <c r="D231" s="12" t="inlineStr">
        <is>
          <t>P0</t>
        </is>
      </c>
      <c r="E231" s="11" t="inlineStr">
        <is>
          <t>Open</t>
        </is>
      </c>
      <c r="F231" s="11" t="inlineStr">
        <is>
          <t>coral-r2-write-path.md</t>
        </is>
      </c>
      <c r="G231" s="11" t="inlineStr">
        <is>
          <t>[P4.1] Written first</t>
        </is>
      </c>
    </row>
    <row r="232">
      <c r="A232" s="11" t="inlineStr">
        <is>
          <t>R2-1</t>
        </is>
      </c>
      <c r="B232" s="11" t="inlineStr">
        <is>
          <t>One saveRecord() behind the accessor; 5 doors collapse to 1; 30 direct prisma writes migrated</t>
        </is>
      </c>
      <c r="C232" s="11" t="inlineStr">
        <is>
          <t>Persistence (R2)</t>
        </is>
      </c>
      <c r="D232" s="12" t="inlineStr">
        <is>
          <t>P0</t>
        </is>
      </c>
      <c r="E232" s="11" t="inlineStr">
        <is>
          <t>Open</t>
        </is>
      </c>
      <c r="F232" s="11" t="inlineStr">
        <is>
          <t>coral-r2-write-path.md</t>
        </is>
      </c>
      <c r="G232" s="11" t="inlineStr">
        <is>
          <t>[P4.2]</t>
        </is>
      </c>
    </row>
    <row r="233">
      <c r="A233" s="11" t="inlineStr">
        <is>
          <t>R2-2</t>
        </is>
      </c>
      <c r="B233" s="11" t="inlineStr">
        <is>
          <t>Writes are field-level intents, not row snapshots — the structural fix for N1</t>
        </is>
      </c>
      <c r="C233" s="11" t="inlineStr">
        <is>
          <t>Persistence (R2)</t>
        </is>
      </c>
      <c r="D233" s="12" t="inlineStr">
        <is>
          <t>P0</t>
        </is>
      </c>
      <c r="E233" s="11" t="inlineStr">
        <is>
          <t>Open</t>
        </is>
      </c>
      <c r="F233" s="11" t="inlineStr">
        <is>
          <t>coral-r2-write-path.md</t>
        </is>
      </c>
      <c r="G233" s="11" t="inlineStr">
        <is>
          <t>[P4.3]</t>
        </is>
      </c>
    </row>
    <row r="234">
      <c r="A234" s="11" t="inlineStr">
        <is>
          <t>R2-3</t>
        </is>
      </c>
      <c r="B234" s="11" t="inlineStr">
        <is>
          <t>One authority on current: store takes the server row back; re-prove OCC-15 single-flight survived</t>
        </is>
      </c>
      <c r="C234" s="11" t="inlineStr">
        <is>
          <t>Persistence (R2)</t>
        </is>
      </c>
      <c r="D234" s="12" t="inlineStr">
        <is>
          <t>P0</t>
        </is>
      </c>
      <c r="E234" s="11" t="inlineStr">
        <is>
          <t>Open</t>
        </is>
      </c>
      <c r="F234" s="11" t="inlineStr">
        <is>
          <t>coral-r2-write-path.md</t>
        </is>
      </c>
      <c r="G234" s="11" t="inlineStr">
        <is>
          <t>[P4.4]</t>
        </is>
      </c>
    </row>
    <row r="235">
      <c r="A235" s="11" t="inlineStr">
        <is>
          <t>R2-4</t>
        </is>
      </c>
      <c r="B235" s="11" t="inlineStr">
        <is>
          <t>RE-CUT by R2-6(c): shrink the store to INDEX + WORKING SET + sync queue. NOT a four-way split. Page cache goes; dirty-page protection untouchable</t>
        </is>
      </c>
      <c r="C235" s="11" t="inlineStr">
        <is>
          <t>Persistence (R2)</t>
        </is>
      </c>
      <c r="D235" s="13" t="inlineStr">
        <is>
          <t>P1</t>
        </is>
      </c>
      <c r="E235" s="11" t="inlineStr">
        <is>
          <t>Open</t>
        </is>
      </c>
      <c r="F235" s="11" t="inlineStr">
        <is>
          <t>coral-r2-write-path.md</t>
        </is>
      </c>
      <c r="G235" s="11" t="inlineStr">
        <is>
          <t>[P4.5] Unblocked</t>
        </is>
      </c>
    </row>
    <row r="236">
      <c r="A236" s="11" t="inlineStr">
        <is>
          <t>R3-1</t>
        </is>
      </c>
      <c r="B236" s="11" t="inlineStr">
        <is>
          <t>Cell edits emit intents; delete the stale-snapshot diff loop; move (not lose) the skip/lock rules</t>
        </is>
      </c>
      <c r="C236" s="11" t="inlineStr">
        <is>
          <t>Record surface (R3)</t>
        </is>
      </c>
      <c r="D236" s="12" t="inlineStr">
        <is>
          <t>P0</t>
        </is>
      </c>
      <c r="E236" s="15" t="inlineStr">
        <is>
          <t>Dropped</t>
        </is>
      </c>
      <c r="F236" s="11" t="inlineStr">
        <is>
          <t>coral-r3-grid.md</t>
        </is>
      </c>
      <c r="G236" s="11" t="inlineStr">
        <is>
          <t>Withdrawn — would be deleted by GRID-REPLACE-1</t>
        </is>
      </c>
    </row>
    <row r="237">
      <c r="A237" s="11" t="inlineStr">
        <is>
          <t>R3-A4</t>
        </is>
      </c>
      <c r="B237" s="11" t="inlineStr">
        <is>
          <t>View prop state: seed once and flag defaultPropsSeeded on every view, incl. the not-seeded path; no no-op syncDb writes</t>
        </is>
      </c>
      <c r="C237" s="11" t="inlineStr">
        <is>
          <t>Record surface (R3)</t>
        </is>
      </c>
      <c r="D237" s="13" t="inlineStr">
        <is>
          <t>P1</t>
        </is>
      </c>
      <c r="E237" s="16" t="inlineStr">
        <is>
          <t>Done</t>
        </is>
      </c>
      <c r="F237" s="11" t="inlineStr">
        <is>
          <t>coral-r3-grid.md</t>
        </is>
      </c>
      <c r="G237" s="11" t="inlineStr">
        <is>
          <t>a3f64a4</t>
        </is>
      </c>
    </row>
    <row r="238">
      <c r="A238" s="11" t="inlineStr">
        <is>
          <t>R3-A3</t>
        </is>
      </c>
      <c r="B238" s="11" t="inlineStr">
        <is>
          <t>Route all system databases; getDatabaseRoute returns null on unmapped — null checks required at all 7 call sites (template literals hide it from tsc)</t>
        </is>
      </c>
      <c r="C238" s="11" t="inlineStr">
        <is>
          <t>Record surface (R3)</t>
        </is>
      </c>
      <c r="D238" s="13" t="inlineStr">
        <is>
          <t>P1</t>
        </is>
      </c>
      <c r="E238" s="16" t="inlineStr">
        <is>
          <t>Done</t>
        </is>
      </c>
      <c r="F238" s="11" t="inlineStr">
        <is>
          <t>coral-r3-grid.md</t>
        </is>
      </c>
      <c r="G238" s="11" t="inlineStr">
        <is>
          <t>756d774</t>
        </is>
      </c>
    </row>
    <row r="239">
      <c r="A239" s="11" t="inlineStr">
        <is>
          <t>R3-A2</t>
        </is>
      </c>
      <c r="B239" s="11" t="inlineStr">
        <is>
          <t>PageModal focus stealing on mount + probable DSG document-level paste listener (C3) — reproduce mid-session before closing</t>
        </is>
      </c>
      <c r="C239" s="11" t="inlineStr">
        <is>
          <t>Record surface (R3)</t>
        </is>
      </c>
      <c r="D239" s="13" t="inlineStr">
        <is>
          <t>P1</t>
        </is>
      </c>
      <c r="E239" s="16" t="inlineStr">
        <is>
          <t>Done</t>
        </is>
      </c>
      <c r="F239" s="11" t="inlineStr">
        <is>
          <t>coral-r3-grid.md</t>
        </is>
      </c>
      <c r="G239" s="11" t="inlineStr">
        <is>
          <t>6e88e1b</t>
        </is>
      </c>
    </row>
    <row r="240">
      <c r="A240" s="11" t="inlineStr">
        <is>
          <t>R3-B3</t>
        </is>
      </c>
      <c r="B240" s="11" t="inlineStr">
        <is>
          <t>Grid reads via accessor; no client-built id map as a scope filter; view state keyed per tenant</t>
        </is>
      </c>
      <c r="C240" s="11" t="inlineStr">
        <is>
          <t>Record surface (R3)</t>
        </is>
      </c>
      <c r="D240" s="13" t="inlineStr">
        <is>
          <t>P1</t>
        </is>
      </c>
      <c r="E240" s="11" t="inlineStr">
        <is>
          <t>Open</t>
        </is>
      </c>
      <c r="F240" s="11" t="inlineStr">
        <is>
          <t>coral-r3-grid.md</t>
        </is>
      </c>
      <c r="G240" s="11" t="inlineStr">
        <is>
          <t>Built into V2, not retrofitted</t>
        </is>
      </c>
    </row>
    <row r="241">
      <c r="A241" s="11" t="inlineStr">
        <is>
          <t>R4-6</t>
        </is>
      </c>
      <c r="B241" s="11" t="inlineStr">
        <is>
          <t>Characterization fixtures for every document surface before consolidating. Disagreements go to Florin</t>
        </is>
      </c>
      <c r="C241" s="11" t="inlineStr">
        <is>
          <t>Document engine (R4)</t>
        </is>
      </c>
      <c r="D241" s="12" t="inlineStr">
        <is>
          <t>P0</t>
        </is>
      </c>
      <c r="E241" s="11" t="inlineStr">
        <is>
          <t>Open</t>
        </is>
      </c>
      <c r="F241" s="11" t="inlineStr">
        <is>
          <t>coral-r4-document-engine.md</t>
        </is>
      </c>
      <c r="G241" s="11" t="inlineStr">
        <is>
          <t>First in R4</t>
        </is>
      </c>
    </row>
    <row r="242">
      <c r="A242" s="11" t="inlineStr">
        <is>
          <t>R4-1</t>
        </is>
      </c>
      <c r="B242" s="11" t="inlineStr">
        <is>
          <t>getDocumentLines() — the only line reader across all 9 surfaces; absorbs PI-LINES-1/2</t>
        </is>
      </c>
      <c r="C242" s="11" t="inlineStr">
        <is>
          <t>Document engine (R4)</t>
        </is>
      </c>
      <c r="D242" s="12" t="inlineStr">
        <is>
          <t>P0</t>
        </is>
      </c>
      <c r="E242" s="11" t="inlineStr">
        <is>
          <t>Open</t>
        </is>
      </c>
      <c r="F242" s="11" t="inlineStr">
        <is>
          <t>coral-r4-document-engine.md</t>
        </is>
      </c>
      <c r="G242" s="11" t="inlineStr"/>
    </row>
    <row r="243">
      <c r="A243" s="11" t="inlineStr">
        <is>
          <t>R4-2</t>
        </is>
      </c>
      <c r="B243" s="11" t="inlineStr">
        <is>
          <t>Totals derived once via lib/invoice-totals.ts everywhere incl. portal; delete local variants</t>
        </is>
      </c>
      <c r="C243" s="11" t="inlineStr">
        <is>
          <t>Document engine (R4)</t>
        </is>
      </c>
      <c r="D243" s="12" t="inlineStr">
        <is>
          <t>P0</t>
        </is>
      </c>
      <c r="E243" s="11" t="inlineStr">
        <is>
          <t>Open</t>
        </is>
      </c>
      <c r="F243" s="11" t="inlineStr">
        <is>
          <t>coral-r4-document-engine.md</t>
        </is>
      </c>
      <c r="G243" s="11" t="inlineStr"/>
    </row>
    <row r="244">
      <c r="A244" s="11" t="inlineStr">
        <is>
          <t>R4-4</t>
        </is>
      </c>
      <c r="B244" s="11" t="inlineStr">
        <is>
          <t>Portal renders what you sent — closes PORTAL-QUOTE-LINE-TOTAL as a consequence</t>
        </is>
      </c>
      <c r="C244" s="11" t="inlineStr">
        <is>
          <t>Document engine (R4)</t>
        </is>
      </c>
      <c r="D244" s="12" t="inlineStr">
        <is>
          <t>P0</t>
        </is>
      </c>
      <c r="E244" s="11" t="inlineStr">
        <is>
          <t>Open</t>
        </is>
      </c>
      <c r="F244" s="11" t="inlineStr">
        <is>
          <t>coral-r4-document-engine.md</t>
        </is>
      </c>
      <c r="G244" s="11" t="inlineStr">
        <is>
          <t>Client-visible</t>
        </is>
      </c>
    </row>
    <row r="245">
      <c r="A245" s="11" t="inlineStr">
        <is>
          <t>R4-3</t>
        </is>
      </c>
      <c r="B245" s="11" t="inlineStr">
        <is>
          <t>One tree, one set of operations; absorbs ENGINE-CATEGORY-WRAPPERS + ENGINE-ADD-BLOCK-AFFORDANCES</t>
        </is>
      </c>
      <c r="C245" s="11" t="inlineStr">
        <is>
          <t>Document engine (R4)</t>
        </is>
      </c>
      <c r="D245" s="13" t="inlineStr">
        <is>
          <t>P1</t>
        </is>
      </c>
      <c r="E245" s="11" t="inlineStr">
        <is>
          <t>Open</t>
        </is>
      </c>
      <c r="F245" s="11" t="inlineStr">
        <is>
          <t>coral-r4-document-engine.md</t>
        </is>
      </c>
      <c r="G245" s="11" t="inlineStr"/>
    </row>
    <row r="246">
      <c r="A246" s="11" t="inlineStr">
        <is>
          <t>R4-5</t>
        </is>
      </c>
      <c r="B246" s="11" t="inlineStr">
        <is>
          <t>Public document routes are token-scoped capabilities; engine reads via accessor</t>
        </is>
      </c>
      <c r="C246" s="11" t="inlineStr">
        <is>
          <t>Document engine (R4)</t>
        </is>
      </c>
      <c r="D246" s="13" t="inlineStr">
        <is>
          <t>P1</t>
        </is>
      </c>
      <c r="E246" s="11" t="inlineStr">
        <is>
          <t>Open</t>
        </is>
      </c>
      <c r="F246" s="11" t="inlineStr">
        <is>
          <t>coral-r4-document-engine.md</t>
        </is>
      </c>
      <c r="G246" s="11" t="inlineStr"/>
    </row>
    <row r="247">
      <c r="A247" s="11" t="inlineStr">
        <is>
          <t>R2-0</t>
        </is>
      </c>
      <c r="B247" s="11" t="inlineStr">
        <is>
          <t>LAYER RULE: five doors = one core + four sideways copies. One kernel write + thin adapters; the rest deleted, not deprecated</t>
        </is>
      </c>
      <c r="C247" s="11" t="inlineStr">
        <is>
          <t>Persistence (R2)</t>
        </is>
      </c>
      <c r="D247" s="12" t="inlineStr">
        <is>
          <t>P0</t>
        </is>
      </c>
      <c r="E247" s="11" t="inlineStr">
        <is>
          <t>Open</t>
        </is>
      </c>
      <c r="F247" s="11" t="inlineStr">
        <is>
          <t>coral-r2-write-path.md</t>
        </is>
      </c>
      <c r="G247" s="11" t="inlineStr">
        <is>
          <t>Florin 2026-09-12</t>
        </is>
      </c>
    </row>
    <row r="248">
      <c r="A248" s="11" t="inlineStr">
        <is>
          <t>R3-0</t>
        </is>
      </c>
      <c r="B248" s="11" t="inlineStr">
        <is>
          <t>The grid stops being a system and becomes a view — record rules (computed skip, accountantExportedAt lock) move DOWN to the core so every surface inherits them</t>
        </is>
      </c>
      <c r="C248" s="11" t="inlineStr">
        <is>
          <t>Record surface (R3)</t>
        </is>
      </c>
      <c r="D248" s="12" t="inlineStr">
        <is>
          <t>P0</t>
        </is>
      </c>
      <c r="E248" s="15" t="inlineStr">
        <is>
          <t>Dropped</t>
        </is>
      </c>
      <c r="F248" s="11" t="inlineStr">
        <is>
          <t>coral-r3-grid.md</t>
        </is>
      </c>
      <c r="G248" s="11" t="inlineStr">
        <is>
          <t>Re-cut: delivered via GRID-REPLACE</t>
        </is>
      </c>
    </row>
    <row r="249">
      <c r="A249" s="11" t="inlineStr">
        <is>
          <t>R3-A1</t>
        </is>
      </c>
      <c r="B249" s="11" t="inlineStr">
        <is>
          <t>VERIFY: does the accountantExportedAt edit lock exist outside the grid? If not, record detail could edit exported documents all along</t>
        </is>
      </c>
      <c r="C249" s="11" t="inlineStr">
        <is>
          <t>Record surface (R3)</t>
        </is>
      </c>
      <c r="D249" s="12" t="inlineStr">
        <is>
          <t>P0</t>
        </is>
      </c>
      <c r="E249" s="16" t="inlineStr">
        <is>
          <t>Done</t>
        </is>
      </c>
      <c r="F249" s="11" t="inlineStr">
        <is>
          <t>coral-r3-grid.md</t>
        </is>
      </c>
      <c r="G249" s="11" t="inlineStr">
        <is>
          <t>CONFIRMED: lock exists ONLY at NotionGrid.tsx:1157 — see EXPORT-LOCK-CORE</t>
        </is>
      </c>
    </row>
    <row r="250">
      <c r="A250" s="11" t="inlineStr">
        <is>
          <t>R3-B1</t>
        </is>
      </c>
      <c r="B250" s="11" t="inlineStr">
        <is>
          <t>GRID-REPLACE V2 consumes the core intent API — the whole-row diff loop is NOT reimplemented in any form</t>
        </is>
      </c>
      <c r="C250" s="11" t="inlineStr">
        <is>
          <t>Record surface (R3)</t>
        </is>
      </c>
      <c r="D250" s="12" t="inlineStr">
        <is>
          <t>P0</t>
        </is>
      </c>
      <c r="E250" s="11" t="inlineStr">
        <is>
          <t>Open</t>
        </is>
      </c>
      <c r="F250" s="11" t="inlineStr">
        <is>
          <t>coral-r3-grid.md</t>
        </is>
      </c>
      <c r="G250" s="11" t="inlineStr">
        <is>
          <t>After R2</t>
        </is>
      </c>
    </row>
    <row r="251">
      <c r="A251" s="11" t="inlineStr">
        <is>
          <t>R3-B2</t>
        </is>
      </c>
      <c r="B251" s="11" t="inlineStr">
        <is>
          <t>Record rules move DOWN to the core, not across into V2 (computed skip, accountantExportedAt lock); blocked edits say why</t>
        </is>
      </c>
      <c r="C251" s="11" t="inlineStr">
        <is>
          <t>Record surface (R3)</t>
        </is>
      </c>
      <c r="D251" s="12" t="inlineStr">
        <is>
          <t>P0</t>
        </is>
      </c>
      <c r="E251" s="11" t="inlineStr">
        <is>
          <t>Open</t>
        </is>
      </c>
      <c r="F251" s="11" t="inlineStr">
        <is>
          <t>coral-r3-grid.md</t>
        </is>
      </c>
      <c r="G251" s="11" t="inlineStr">
        <is>
          <t>Not a sideways copy</t>
        </is>
      </c>
    </row>
    <row r="252">
      <c r="A252" s="11" t="inlineStr">
        <is>
          <t>R3-B4</t>
        </is>
      </c>
      <c r="B252" s="11" t="inlineStr">
        <is>
          <t>Parity checklist proven on 2+ databases before the flag flips</t>
        </is>
      </c>
      <c r="C252" s="11" t="inlineStr">
        <is>
          <t>Record surface (R3)</t>
        </is>
      </c>
      <c r="D252" s="13" t="inlineStr">
        <is>
          <t>P1</t>
        </is>
      </c>
      <c r="E252" s="11" t="inlineStr">
        <is>
          <t>Open</t>
        </is>
      </c>
      <c r="F252" s="11" t="inlineStr">
        <is>
          <t>coral-r3-grid.md</t>
        </is>
      </c>
      <c r="G252" s="11" t="inlineStr"/>
    </row>
    <row r="253">
      <c r="A253" s="11" t="inlineStr">
        <is>
          <t>R3-B5</t>
        </is>
      </c>
      <c r="B253" s="11" t="inlineStr">
        <is>
          <t>Delete react-datasheet-grid and the flag</t>
        </is>
      </c>
      <c r="C253" s="11" t="inlineStr">
        <is>
          <t>Record surface (R3)</t>
        </is>
      </c>
      <c r="D253" s="13" t="inlineStr">
        <is>
          <t>P1</t>
        </is>
      </c>
      <c r="E253" s="11" t="inlineStr">
        <is>
          <t>Open</t>
        </is>
      </c>
      <c r="F253" s="11" t="inlineStr">
        <is>
          <t>coral-r3-grid.md</t>
        </is>
      </c>
      <c r="G253" s="11" t="inlineStr">
        <is>
          <t>No retained fallback</t>
        </is>
      </c>
    </row>
    <row r="254">
      <c r="A254" s="11" t="inlineStr">
        <is>
          <t>R3-C</t>
        </is>
      </c>
      <c r="B254" s="11" t="inlineStr">
        <is>
          <t>FREEZE NotionGrid.tsx / useGridColumns / columns-* until GRID-REPLACE (incl. GRID-3 column resize). Exception: data-loss or security only</t>
        </is>
      </c>
      <c r="C254" s="11" t="inlineStr">
        <is>
          <t>Record surface (R3)</t>
        </is>
      </c>
      <c r="D254" s="13" t="inlineStr">
        <is>
          <t>P1</t>
        </is>
      </c>
      <c r="E254" s="11" t="inlineStr">
        <is>
          <t>Open</t>
        </is>
      </c>
      <c r="F254" s="11" t="inlineStr">
        <is>
          <t>coral-r3-grid.md</t>
        </is>
      </c>
      <c r="G254" s="11" t="inlineStr">
        <is>
          <t>Stop paying twice</t>
        </is>
      </c>
    </row>
    <row r="255">
      <c r="A255" s="11" t="inlineStr">
        <is>
          <t>EXPORT-LOCK-CORE</t>
        </is>
      </c>
      <c r="B255" s="11" t="inlineStr">
        <is>
          <t>Shared checkExportLock() in lib/records/export-lock.ts, called at saveGlobalPage + saveGlobalPagesBatch + updatePageServerFirst. Fails loudly naming blocked fields</t>
        </is>
      </c>
      <c r="C255" s="11" t="inlineStr">
        <is>
          <t>Tenancy/Core</t>
        </is>
      </c>
      <c r="D255" s="12" t="inlineStr">
        <is>
          <t>P0</t>
        </is>
      </c>
      <c r="E255" s="16" t="inlineStr">
        <is>
          <t>Done</t>
        </is>
      </c>
      <c r="F255" s="11" t="inlineStr">
        <is>
          <t>coder-directive-r3a.md</t>
        </is>
      </c>
      <c r="G255" s="11" t="inlineStr">
        <is>
          <t>672c264</t>
        </is>
      </c>
    </row>
    <row r="256">
      <c r="A256" s="11" t="inlineStr">
        <is>
          <t>OVL-1</t>
        </is>
      </c>
      <c r="B256" s="11" t="inlineStr">
        <is>
          <t>useOverlayEventShield() — one hook stopping all 8 DSG document listeners at the overlay boundary; bubble stop on root + capture guard for strays. Never preventDefault</t>
        </is>
      </c>
      <c r="C256" s="11" t="inlineStr">
        <is>
          <t>Overlay / grid</t>
        </is>
      </c>
      <c r="D256" s="12" t="inlineStr">
        <is>
          <t>P0</t>
        </is>
      </c>
      <c r="E256" s="16" t="inlineStr">
        <is>
          <t>Done</t>
        </is>
      </c>
      <c r="F256" s="11" t="inlineStr">
        <is>
          <t>coral-overlay-event-shield.md</t>
        </is>
      </c>
      <c r="G256" s="11" t="inlineStr">
        <is>
          <t>f7af3ef — see C6-C9 follow-up</t>
        </is>
      </c>
    </row>
    <row r="257">
      <c r="A257" s="11" t="inlineStr">
        <is>
          <t>OVL-2</t>
        </is>
      </c>
      <c r="B257" s="11" t="inlineStr">
        <is>
          <t>PageModal adopts the shield; delete its ad hoc keydown stopPropagation</t>
        </is>
      </c>
      <c r="C257" s="11" t="inlineStr">
        <is>
          <t>Overlay / grid</t>
        </is>
      </c>
      <c r="D257" s="12" t="inlineStr">
        <is>
          <t>P0</t>
        </is>
      </c>
      <c r="E257" s="16" t="inlineStr">
        <is>
          <t>Done</t>
        </is>
      </c>
      <c r="F257" s="11" t="inlineStr">
        <is>
          <t>coral-overlay-event-shield.md</t>
        </is>
      </c>
      <c r="G257" s="11" t="inlineStr">
        <is>
          <t>4b612f8 — see C6-C9 follow-up</t>
        </is>
      </c>
    </row>
    <row r="258">
      <c r="A258" s="11" t="inlineStr">
        <is>
          <t>OVL-3</t>
        </is>
      </c>
      <c r="B258" s="11" t="inlineStr">
        <is>
          <t>Sweep remaining overlays over the grid (send modals, TicketCapture, schema editor, shift editor) — enumerate as adopted</t>
        </is>
      </c>
      <c r="C258" s="11" t="inlineStr">
        <is>
          <t>Overlay / grid</t>
        </is>
      </c>
      <c r="D258" s="13" t="inlineStr">
        <is>
          <t>P1</t>
        </is>
      </c>
      <c r="E258" s="16" t="inlineStr">
        <is>
          <t>Done</t>
        </is>
      </c>
      <c r="F258" s="11" t="inlineStr">
        <is>
          <t>coral-overlay-event-shield.md</t>
        </is>
      </c>
      <c r="G258" s="11" t="inlineStr">
        <is>
          <t>139d3dc — see C6-C9 follow-up</t>
        </is>
      </c>
    </row>
    <row r="259">
      <c r="A259" s="11" t="inlineStr">
        <is>
          <t>OVL-4</t>
        </is>
      </c>
      <c r="B259" s="11" t="inlineStr">
        <is>
          <t>Delete the shield in GRID-REPLACE-5 alongside react-datasheet-grid</t>
        </is>
      </c>
      <c r="C259" s="11" t="inlineStr">
        <is>
          <t>Overlay / grid</t>
        </is>
      </c>
      <c r="D259" s="14" t="inlineStr">
        <is>
          <t>P2</t>
        </is>
      </c>
      <c r="E259" s="16" t="inlineStr">
        <is>
          <t>Done</t>
        </is>
      </c>
      <c r="F259" s="11" t="inlineStr">
        <is>
          <t>coral-overlay-event-shield.md</t>
        </is>
      </c>
      <c r="G259" s="11" t="inlineStr">
        <is>
          <t>cece86a — see C6-C9 follow-up</t>
        </is>
      </c>
    </row>
    <row r="260">
      <c r="A260" s="11" t="inlineStr">
        <is>
          <t>OVL-C6</t>
        </is>
      </c>
      <c r="B260" s="11" t="inlineStr">
        <is>
          <t>Narrow the document capture guard to clipboard events only — it currently swallows mouse/keyboard events outside the overlay before they reach their target</t>
        </is>
      </c>
      <c r="C260" s="11" t="inlineStr">
        <is>
          <t>Overlay / grid</t>
        </is>
      </c>
      <c r="D260" s="12" t="inlineStr">
        <is>
          <t>P0</t>
        </is>
      </c>
      <c r="E260" s="16" t="inlineStr">
        <is>
          <t>Done</t>
        </is>
      </c>
      <c r="F260" s="11" t="inlineStr">
        <is>
          <t>coral-overlay-event-shield.md</t>
        </is>
      </c>
      <c r="G260" s="11" t="inlineStr">
        <is>
          <t>7cc2422 (OVL-5)</t>
        </is>
      </c>
    </row>
    <row r="261">
      <c r="A261" s="11" t="inlineStr">
        <is>
          <t>OVL-C7</t>
        </is>
      </c>
      <c r="B261" s="11" t="inlineStr">
        <is>
          <t>Overlays adopting the shield must register their own document listeners in CAPTURE. Fix PageModal.tsx:662 mouseup; audit the 10 adopted overlays</t>
        </is>
      </c>
      <c r="C261" s="11" t="inlineStr">
        <is>
          <t>Overlay / grid</t>
        </is>
      </c>
      <c r="D261" s="12" t="inlineStr">
        <is>
          <t>P0</t>
        </is>
      </c>
      <c r="E261" s="16" t="inlineStr">
        <is>
          <t>Done</t>
        </is>
      </c>
      <c r="F261" s="11" t="inlineStr">
        <is>
          <t>coral-overlay-event-shield.md</t>
        </is>
      </c>
      <c r="G261" s="11" t="inlineStr">
        <is>
          <t>7cc2422 (OVL-5)</t>
        </is>
      </c>
    </row>
    <row r="262">
      <c r="A262" s="11" t="inlineStr">
        <is>
          <t>OVL-C8</t>
        </is>
      </c>
      <c r="B262" s="11" t="inlineStr">
        <is>
          <t>Remove mousemove from SHIELDED_EVENTS — buys nothing, costs a contains() per mouse move per overlay</t>
        </is>
      </c>
      <c r="C262" s="11" t="inlineStr">
        <is>
          <t>Overlay / grid</t>
        </is>
      </c>
      <c r="D262" s="13" t="inlineStr">
        <is>
          <t>P1</t>
        </is>
      </c>
      <c r="E262" s="16" t="inlineStr">
        <is>
          <t>Done</t>
        </is>
      </c>
      <c r="F262" s="11" t="inlineStr">
        <is>
          <t>coral-overlay-event-shield.md</t>
        </is>
      </c>
      <c r="G262" s="11" t="inlineStr">
        <is>
          <t>7cc2422 (OVL-5)</t>
        </is>
      </c>
    </row>
    <row r="263">
      <c r="A263" s="11" t="inlineStr">
        <is>
          <t>OVL-C9</t>
        </is>
      </c>
      <c r="B263" s="11" t="inlineStr">
        <is>
          <t>Confirm ProjectDetailView is a true transient overlay; remove from the adopted list if persistently mounted</t>
        </is>
      </c>
      <c r="C263" s="11" t="inlineStr">
        <is>
          <t>Overlay / grid</t>
        </is>
      </c>
      <c r="D263" s="13" t="inlineStr">
        <is>
          <t>P1</t>
        </is>
      </c>
      <c r="E263" s="16" t="inlineStr">
        <is>
          <t>Done</t>
        </is>
      </c>
      <c r="F263" s="11" t="inlineStr">
        <is>
          <t>coral-overlay-event-shield.md</t>
        </is>
      </c>
      <c r="G263" s="11" t="inlineStr">
        <is>
          <t>7cc2422 (OVL-5)</t>
        </is>
      </c>
    </row>
    <row r="264">
      <c r="A264" s="11" t="inlineStr">
        <is>
          <t>R1-1a</t>
        </is>
      </c>
      <c r="B264" s="11" t="inlineStr">
        <is>
          <t>RECONCILE THE TWO LISTS: SYSTEM_DB_PREFIXES (14) vs BASE_TO_KEY (16). db-hr and db-journal-general are locked DBs but isSystemDatabase() says false, so createPageServerFirst skips tenant resolution for them</t>
        </is>
      </c>
      <c r="C264" s="11" t="inlineStr">
        <is>
          <t>Tenancy (R1)</t>
        </is>
      </c>
      <c r="D264" s="12" t="inlineStr">
        <is>
          <t>P0</t>
        </is>
      </c>
      <c r="E264" s="11" t="inlineStr">
        <is>
          <t>Open</t>
        </is>
      </c>
      <c r="F264" s="11" t="inlineStr">
        <is>
          <t>coral-r1-tenancy.md</t>
        </is>
      </c>
      <c r="G264" s="11" t="inlineStr">
        <is>
          <t>[P3.1] NEW FINDING 2026-09-12</t>
        </is>
      </c>
    </row>
    <row r="265">
      <c r="A265" s="11" t="inlineStr">
        <is>
          <t>ACCT-SALES-PDF</t>
        </is>
      </c>
      <c r="B265" s="11" t="inlineStr">
        <is>
          <t>QUESTION: 128 records have NO stored document and 71 of those are stamped accountantExportedAt. If sales invoices never store a receiptUrl, the accountant ZIP has only purchase PDFs + CSVs</t>
        </is>
      </c>
      <c r="C265" s="11" t="inlineStr">
        <is>
          <t>Finance · Accountant</t>
        </is>
      </c>
      <c r="D265" s="13" t="inlineStr">
        <is>
          <t>P1</t>
        </is>
      </c>
      <c r="E265" s="16" t="inlineStr">
        <is>
          <t>Done</t>
        </is>
      </c>
      <c r="F265" s="11" t="inlineStr">
        <is>
          <t>blob-0-census.sql</t>
        </is>
      </c>
      <c r="G265" s="11" t="inlineStr">
        <is>
          <t>ANSWERED: never built. Spec -&gt; coral-document-archive.md</t>
        </is>
      </c>
    </row>
    <row r="266">
      <c r="A266" s="11" t="inlineStr">
        <is>
          <t>DOC-ARCH-1</t>
        </is>
      </c>
      <c r="B266" s="11" t="inlineStr">
        <is>
          <t>Capture the transmitted PDF: persist the buffer BEFORE sending (email + Peppol), write key to receiptUrl, never overwrite (-v2). Archive == what the client received</t>
        </is>
      </c>
      <c r="C266" s="11" t="inlineStr">
        <is>
          <t>Document archive</t>
        </is>
      </c>
      <c r="D266" s="12" t="inlineStr">
        <is>
          <t>P0</t>
        </is>
      </c>
      <c r="E266" s="16" t="inlineStr">
        <is>
          <t>Done</t>
        </is>
      </c>
      <c r="F266" s="11" t="inlineStr">
        <is>
          <t>coder-directive-doc-archive.md</t>
        </is>
      </c>
      <c r="G266" s="11" t="inlineStr">
        <is>
          <t>0648d7e</t>
        </is>
      </c>
    </row>
    <row r="267">
      <c r="A267" s="11" t="inlineStr">
        <is>
          <t>DOC-ARCH-2</t>
        </is>
      </c>
      <c r="B267" s="11" t="inlineStr">
        <is>
          <t>Server-side render for issues without transmission (@react-pdf/renderer, pattern already in hr/timesheet-export)</t>
        </is>
      </c>
      <c r="C267" s="11" t="inlineStr">
        <is>
          <t>Document archive</t>
        </is>
      </c>
      <c r="D267" s="13" t="inlineStr">
        <is>
          <t>P1</t>
        </is>
      </c>
      <c r="E267" s="11" t="inlineStr">
        <is>
          <t>Open</t>
        </is>
      </c>
      <c r="F267" s="11" t="inlineStr">
        <is>
          <t>coral-document-archive.md</t>
        </is>
      </c>
      <c r="G267" s="11" t="inlineStr">
        <is>
          <t>After R4-1</t>
        </is>
      </c>
    </row>
    <row r="268">
      <c r="A268" s="11" t="inlineStr">
        <is>
          <t>DOC-ARCH-3</t>
        </is>
      </c>
      <c r="B268" s="11" t="inlineStr">
        <is>
          <t>One accessor for "the document of this record"; displaying never re-renders</t>
        </is>
      </c>
      <c r="C268" s="11" t="inlineStr">
        <is>
          <t>Document archive</t>
        </is>
      </c>
      <c r="D268" s="13" t="inlineStr">
        <is>
          <t>P1</t>
        </is>
      </c>
      <c r="E268" s="11" t="inlineStr">
        <is>
          <t>Open</t>
        </is>
      </c>
      <c r="F268" s="11" t="inlineStr">
        <is>
          <t>coral-document-archive.md</t>
        </is>
      </c>
      <c r="G268" s="11" t="inlineStr"/>
    </row>
    <row r="269">
      <c r="A269" s="11" t="inlineStr">
        <is>
          <t>DOC-ARCH-4</t>
        </is>
      </c>
      <c r="B269" s="11" t="inlineStr">
        <is>
          <t>Trigger is issue/sent transition, not save. Same event as the export lock</t>
        </is>
      </c>
      <c r="C269" s="11" t="inlineStr">
        <is>
          <t>Document archive</t>
        </is>
      </c>
      <c r="D269" s="12" t="inlineStr">
        <is>
          <t>P0</t>
        </is>
      </c>
      <c r="E269" s="16" t="inlineStr">
        <is>
          <t>Done</t>
        </is>
      </c>
      <c r="F269" s="11" t="inlineStr">
        <is>
          <t>coder-directive-doc-archive.md</t>
        </is>
      </c>
      <c r="G269" s="11" t="inlineStr">
        <is>
          <t>0648d7e</t>
        </is>
      </c>
    </row>
    <row r="270">
      <c r="A270" s="11" t="inlineStr">
        <is>
          <t>DOC-ARCH-5</t>
        </is>
      </c>
      <c r="B270" s="11" t="inlineStr">
        <is>
          <t>NO bulk backfill (decided). Manual "Archive this document" action on the engine, reusing generatePdfBlob; stamps documentReconstructed + date, filename -reconstructed.pdf</t>
        </is>
      </c>
      <c r="C270" s="11" t="inlineStr">
        <is>
          <t>Document archive</t>
        </is>
      </c>
      <c r="D270" s="13" t="inlineStr">
        <is>
          <t>P1</t>
        </is>
      </c>
      <c r="E270" s="16" t="inlineStr">
        <is>
          <t>Done</t>
        </is>
      </c>
      <c r="F270" s="11" t="inlineStr">
        <is>
          <t>coder-directive-doc-archive.md</t>
        </is>
      </c>
      <c r="G270" s="11" t="inlineStr">
        <is>
          <t>c529202</t>
        </is>
      </c>
    </row>
    <row r="271">
      <c r="A271" s="11" t="inlineStr">
        <is>
          <t>DOC-ARCH-6</t>
        </is>
      </c>
      <c r="B271" s="11" t="inlineStr">
        <is>
          <t>Later: flag issued invoices with no archived document in the export. Must NOT apply retroactively</t>
        </is>
      </c>
      <c r="C271" s="11" t="inlineStr">
        <is>
          <t>Document archive</t>
        </is>
      </c>
      <c r="D271" s="14" t="inlineStr">
        <is>
          <t>P2</t>
        </is>
      </c>
      <c r="E271" s="11" t="inlineStr">
        <is>
          <t>Open</t>
        </is>
      </c>
      <c r="F271" s="11" t="inlineStr">
        <is>
          <t>coral-document-archive.md</t>
        </is>
      </c>
      <c r="G271" s="11" t="inlineStr"/>
    </row>
    <row r="272">
      <c r="A272" s="11" t="inlineStr">
        <is>
          <t>DOC-LABEL</t>
        </is>
      </c>
      <c r="B272" s="11" t="inlineStr">
        <is>
          <t>receiptUrl is displayed under two names (Origineel Document / Bonnetje). One field, one localised label</t>
        </is>
      </c>
      <c r="C272" s="11" t="inlineStr">
        <is>
          <t>Document archive</t>
        </is>
      </c>
      <c r="D272" s="14" t="inlineStr">
        <is>
          <t>P2</t>
        </is>
      </c>
      <c r="E272" s="11" t="inlineStr">
        <is>
          <t>Open</t>
        </is>
      </c>
      <c r="F272" s="11" t="inlineStr">
        <is>
          <t>coral-document-archive.md</t>
        </is>
      </c>
      <c r="G272" s="11" t="inlineStr">
        <is>
          <t>Cleanup, same pass</t>
        </is>
      </c>
    </row>
    <row r="273">
      <c r="A273" s="11" t="inlineStr">
        <is>
          <t>DOC-ARCH-0</t>
        </is>
      </c>
      <c r="B273" s="11" t="inlineStr">
        <is>
          <t>EXPORT-LOCK conflict: archiving writes receiptUrl, which the lock blocks on exported records. Add named ARCHIVE_FIELDS exemption (3 fields, no bypass flag)</t>
        </is>
      </c>
      <c r="C273" s="11" t="inlineStr">
        <is>
          <t>Document archive</t>
        </is>
      </c>
      <c r="D273" s="12" t="inlineStr">
        <is>
          <t>P0</t>
        </is>
      </c>
      <c r="E273" s="16" t="inlineStr">
        <is>
          <t>Done</t>
        </is>
      </c>
      <c r="F273" s="11" t="inlineStr">
        <is>
          <t>coder-directive-doc-archive.md</t>
        </is>
      </c>
      <c r="G273" s="11" t="inlineStr">
        <is>
          <t>e070a6f</t>
        </is>
      </c>
    </row>
    <row r="274">
      <c r="A274" s="11" t="inlineStr">
        <is>
          <t>R2-1-FABRICATED-PAGE</t>
        </is>
      </c>
      <c r="B274" s="11" t="inlineStr">
        <is>
          <t>updatePageServerFirst returns a Page with hardcoded blocks:[] and blocksVersion:1 (pages.ts:226-227) regardless of reality. Any consumer feeding it to the store wipes blocks + resets OCC</t>
        </is>
      </c>
      <c r="C274" s="11" t="inlineStr">
        <is>
          <t>Persistence (R2)</t>
        </is>
      </c>
      <c r="D274" s="12" t="inlineStr">
        <is>
          <t>P0</t>
        </is>
      </c>
      <c r="E274" s="11" t="inlineStr">
        <is>
          <t>Open</t>
        </is>
      </c>
      <c r="F274" s="11" t="inlineStr">
        <is>
          <t>coral-r2-write-path.md</t>
        </is>
      </c>
      <c r="G274" s="11" t="inlineStr">
        <is>
          <t>[P4.2] Landmine found 2026-09-12</t>
        </is>
      </c>
    </row>
    <row r="275">
      <c r="A275" s="11" t="inlineStr">
        <is>
          <t>CHORE-DUP-ENGINE</t>
        </is>
      </c>
      <c r="B275" s="11" t="inlineStr">
        <is>
          <t>Delete 0-byte src/components/admin/quotations/ClientQuotationEngine 2.tsx — imported nowhere</t>
        </is>
      </c>
      <c r="C275" s="11" t="inlineStr">
        <is>
          <t>Housekeeping</t>
        </is>
      </c>
      <c r="D275" s="14" t="inlineStr">
        <is>
          <t>P2</t>
        </is>
      </c>
      <c r="E275" s="11" t="inlineStr">
        <is>
          <t>Open</t>
        </is>
      </c>
      <c r="F275" s="11" t="inlineStr">
        <is>
          <t>coder-directive-doc-archive.md</t>
        </is>
      </c>
      <c r="G275" s="11" t="inlineStr">
        <is>
          <t>D4</t>
        </is>
      </c>
    </row>
    <row r="276">
      <c r="A276" s="11" t="inlineStr">
        <is>
          <t>TASK-M1</t>
        </is>
      </c>
      <c r="B276" s="11" t="inlineStr">
        <is>
          <t>/m/tasks — a real page in the installed mobile PWA (not a link to /admin/tasks, not a responsive squeeze)</t>
        </is>
      </c>
      <c r="C276" s="11" t="inlineStr">
        <is>
          <t>Tasks · Mobile</t>
        </is>
      </c>
      <c r="D276" s="12" t="inlineStr">
        <is>
          <t>P0</t>
        </is>
      </c>
      <c r="E276" s="16" t="inlineStr">
        <is>
          <t>Done</t>
        </is>
      </c>
      <c r="F276" s="11" t="inlineStr">
        <is>
          <t>coder-directive-tasks-part-a.md</t>
        </is>
      </c>
      <c r="G276" s="11" t="inlineStr">
        <is>
          <t>66ef43a</t>
        </is>
      </c>
    </row>
    <row r="277">
      <c r="A277" s="11" t="inlineStr">
        <is>
          <t>TASK-M2</t>
        </is>
      </c>
      <c r="B277" s="11" t="inlineStr">
        <is>
          <t>Capture in 2 taps / 5 seconds from cold. Title-only is a complete task. This number decides whether the tool is trusted</t>
        </is>
      </c>
      <c r="C277" s="11" t="inlineStr">
        <is>
          <t>Tasks · Mobile</t>
        </is>
      </c>
      <c r="D277" s="12" t="inlineStr">
        <is>
          <t>P0</t>
        </is>
      </c>
      <c r="E277" s="11" t="inlineStr">
        <is>
          <t>Open</t>
        </is>
      </c>
      <c r="F277" s="11" t="inlineStr">
        <is>
          <t>coder-directive-tasks-part-a.md</t>
        </is>
      </c>
      <c r="G277" s="11" t="inlineStr"/>
    </row>
    <row r="278">
      <c r="A278" s="11" t="inlineStr">
        <is>
          <t>TASK-M3</t>
        </is>
      </c>
      <c r="B278" s="11" t="inlineStr">
        <is>
          <t>Capture survives offline — queued via existing sw.js + syncQueue dirty-page protection; UI states it honestly. No second queue</t>
        </is>
      </c>
      <c r="C278" s="11" t="inlineStr">
        <is>
          <t>Tasks · Mobile</t>
        </is>
      </c>
      <c r="D278" s="12" t="inlineStr">
        <is>
          <t>P0</t>
        </is>
      </c>
      <c r="E278" s="11" t="inlineStr">
        <is>
          <t>Open</t>
        </is>
      </c>
      <c r="F278" s="11" t="inlineStr">
        <is>
          <t>coder-directive-tasks-part-a.md</t>
        </is>
      </c>
      <c r="G278" s="11" t="inlineStr"/>
    </row>
    <row r="279">
      <c r="A279" s="11" t="inlineStr">
        <is>
          <t>TASK-M4</t>
        </is>
      </c>
      <c r="B279" s="11" t="inlineStr">
        <is>
          <t>Default view is TODAY, not everything</t>
        </is>
      </c>
      <c r="C279" s="11" t="inlineStr">
        <is>
          <t>Tasks · Mobile</t>
        </is>
      </c>
      <c r="D279" s="12" t="inlineStr">
        <is>
          <t>P0</t>
        </is>
      </c>
      <c r="E279" s="16" t="inlineStr">
        <is>
          <t>Done</t>
        </is>
      </c>
      <c r="F279" s="11" t="inlineStr">
        <is>
          <t>coder-directive-tasks-part-a.md</t>
        </is>
      </c>
      <c r="G279" s="11" t="inlineStr">
        <is>
          <t>260e29d</t>
        </is>
      </c>
    </row>
    <row r="280">
      <c r="A280" s="11" t="inlineStr">
        <is>
          <t>TASK-M5</t>
        </is>
      </c>
      <c r="B280" s="11" t="inlineStr">
        <is>
          <t>Complete with one thumb from the list; brief undo, no confirm dialog</t>
        </is>
      </c>
      <c r="C280" s="11" t="inlineStr">
        <is>
          <t>Tasks · Mobile</t>
        </is>
      </c>
      <c r="D280" s="13" t="inlineStr">
        <is>
          <t>P1</t>
        </is>
      </c>
      <c r="E280" s="16" t="inlineStr">
        <is>
          <t>Done</t>
        </is>
      </c>
      <c r="F280" s="11" t="inlineStr">
        <is>
          <t>coder-directive-tasks-part-a.md</t>
        </is>
      </c>
      <c r="G280" s="11" t="inlineStr">
        <is>
          <t>260e29d</t>
        </is>
      </c>
    </row>
    <row r="281">
      <c r="A281" s="11" t="inlineStr">
        <is>
          <t>TASK-M6</t>
        </is>
      </c>
      <c r="B281" s="11" t="inlineStr">
        <is>
          <t>MobileBottomNav Tasks -&gt; /m/tasks</t>
        </is>
      </c>
      <c r="C281" s="11" t="inlineStr">
        <is>
          <t>Tasks · Mobile</t>
        </is>
      </c>
      <c r="D281" s="13" t="inlineStr">
        <is>
          <t>P1</t>
        </is>
      </c>
      <c r="E281" s="16" t="inlineStr">
        <is>
          <t>Done</t>
        </is>
      </c>
      <c r="F281" s="11" t="inlineStr">
        <is>
          <t>coder-directive-tasks-part-a.md</t>
        </is>
      </c>
      <c r="G281" s="11" t="inlineStr">
        <is>
          <t>467215f</t>
        </is>
      </c>
    </row>
    <row r="282">
      <c r="A282" s="11" t="inlineStr">
        <is>
          <t>TASK-M7</t>
        </is>
      </c>
      <c r="B282" s="11" t="inlineStr">
        <is>
          <t>Fix installed-PWA layout jump (was UI-INSTALLED-PWA-JUMP, Florin P4) — likely 100vh vs 100dvh or safe-area applied post-hydration. Trace first</t>
        </is>
      </c>
      <c r="C282" s="11" t="inlineStr">
        <is>
          <t>Tasks · Mobile</t>
        </is>
      </c>
      <c r="D282" s="13" t="inlineStr">
        <is>
          <t>P1</t>
        </is>
      </c>
      <c r="E282" s="16" t="inlineStr">
        <is>
          <t>Done</t>
        </is>
      </c>
      <c r="F282" s="11" t="inlineStr">
        <is>
          <t>coder-directive-tasks-part-a.md</t>
        </is>
      </c>
      <c r="G282" s="11" t="inlineStr">
        <is>
          <t>34def0e</t>
        </is>
      </c>
    </row>
    <row r="283">
      <c r="A283" s="11" t="inlineStr">
        <is>
          <t>TASK-P1</t>
        </is>
      </c>
      <c r="B283" s="11" t="inlineStr">
        <is>
          <t>Project Tasks lens — same records filtered by project relation, switchable by one control</t>
        </is>
      </c>
      <c r="C283" s="11" t="inlineStr">
        <is>
          <t>Tasks · Projects</t>
        </is>
      </c>
      <c r="D283" s="13" t="inlineStr">
        <is>
          <t>P1</t>
        </is>
      </c>
      <c r="E283" s="11" t="inlineStr">
        <is>
          <t>Open</t>
        </is>
      </c>
      <c r="F283" s="11" t="inlineStr">
        <is>
          <t>coral-task-manager.md</t>
        </is>
      </c>
      <c r="G283" s="11" t="inlineStr"/>
    </row>
    <row r="284">
      <c r="A284" s="11" t="inlineStr">
        <is>
          <t>TASK-P2</t>
        </is>
      </c>
      <c r="B284" s="11" t="inlineStr">
        <is>
          <t>Project detail opens its tasks in this lens, not a separate grid</t>
        </is>
      </c>
      <c r="C284" s="11" t="inlineStr">
        <is>
          <t>Tasks · Projects</t>
        </is>
      </c>
      <c r="D284" s="13" t="inlineStr">
        <is>
          <t>P1</t>
        </is>
      </c>
      <c r="E284" s="11" t="inlineStr">
        <is>
          <t>Open</t>
        </is>
      </c>
      <c r="F284" s="11" t="inlineStr">
        <is>
          <t>coral-task-manager.md</t>
        </is>
      </c>
      <c r="G284" s="11" t="inlineStr"/>
    </row>
    <row r="285">
      <c r="A285" s="11" t="inlineStr">
        <is>
          <t>TASK-P3</t>
        </is>
      </c>
      <c r="B285" s="11" t="inlineStr">
        <is>
          <t>Project lens works on mobile too</t>
        </is>
      </c>
      <c r="C285" s="11" t="inlineStr">
        <is>
          <t>Tasks · Projects</t>
        </is>
      </c>
      <c r="D285" s="13" t="inlineStr">
        <is>
          <t>P1</t>
        </is>
      </c>
      <c r="E285" s="11" t="inlineStr">
        <is>
          <t>Open</t>
        </is>
      </c>
      <c r="F285" s="11" t="inlineStr">
        <is>
          <t>coral-task-manager.md</t>
        </is>
      </c>
      <c r="G285" s="11" t="inlineStr"/>
    </row>
    <row r="286">
      <c r="A286" s="11" t="inlineStr">
        <is>
          <t>TASK-F1</t>
        </is>
      </c>
      <c r="B286" s="11" t="inlineStr">
        <is>
          <t>Desktop surface redesign over the EXISTING engine (perspectives/recurrence/review/dependencies stay)</t>
        </is>
      </c>
      <c r="C286" s="11" t="inlineStr">
        <is>
          <t>Tasks · Full module</t>
        </is>
      </c>
      <c r="D286" s="14" t="inlineStr">
        <is>
          <t>P2</t>
        </is>
      </c>
      <c r="E286" s="11" t="inlineStr">
        <is>
          <t>Open</t>
        </is>
      </c>
      <c r="F286" s="11" t="inlineStr">
        <is>
          <t>coral-task-manager.md</t>
        </is>
      </c>
      <c r="G286" s="11" t="inlineStr"/>
    </row>
    <row r="287">
      <c r="A287" s="11" t="inlineStr">
        <is>
          <t>TASK-F2</t>
        </is>
      </c>
      <c r="B287" s="11" t="inlineStr">
        <is>
          <t>Assignment + team visibility — only after A and B are in daily use</t>
        </is>
      </c>
      <c r="C287" s="11" t="inlineStr">
        <is>
          <t>Tasks · Full module</t>
        </is>
      </c>
      <c r="D287" s="14" t="inlineStr">
        <is>
          <t>P2</t>
        </is>
      </c>
      <c r="E287" s="11" t="inlineStr">
        <is>
          <t>Open</t>
        </is>
      </c>
      <c r="F287" s="11" t="inlineStr">
        <is>
          <t>coral-task-manager.md</t>
        </is>
      </c>
      <c r="G287" s="11" t="inlineStr"/>
    </row>
    <row r="288">
      <c r="A288" s="11" t="inlineStr">
        <is>
          <t>TASK-X1</t>
        </is>
      </c>
      <c r="B288" s="11" t="inlineStr">
        <is>
          <t>TaskModuleShell uses bare db-tasks id (:34,:59,:102,:109,:138) — tenant-resolve it. Live instance of the R1 fail-open seam</t>
        </is>
      </c>
      <c r="C288" s="11" t="inlineStr">
        <is>
          <t>Tasks · Tenancy</t>
        </is>
      </c>
      <c r="D288" s="12" t="inlineStr">
        <is>
          <t>P0</t>
        </is>
      </c>
      <c r="E288" s="16" t="inlineStr">
        <is>
          <t>Done</t>
        </is>
      </c>
      <c r="F288" s="11" t="inlineStr">
        <is>
          <t>coral-task-manager.md</t>
        </is>
      </c>
      <c r="G288" s="11" t="inlineStr">
        <is>
          <t>260e29d — resolveDbId verified</t>
        </is>
      </c>
    </row>
    <row r="289">
      <c r="A289" s="11" t="inlineStr">
        <is>
          <t>TASK-X2</t>
        </is>
      </c>
      <c r="B289" s="11" t="inlineStr">
        <is>
          <t>No private task write path — tasks keep the store mutators and inherit R2-2 intents for free</t>
        </is>
      </c>
      <c r="C289" s="11" t="inlineStr">
        <is>
          <t>Tasks · Tenancy</t>
        </is>
      </c>
      <c r="D289" s="13" t="inlineStr">
        <is>
          <t>P1</t>
        </is>
      </c>
      <c r="E289" s="11" t="inlineStr">
        <is>
          <t>Open</t>
        </is>
      </c>
      <c r="F289" s="11" t="inlineStr">
        <is>
          <t>coral-task-manager.md</t>
        </is>
      </c>
      <c r="G289" s="11" t="inlineStr"/>
    </row>
    <row r="290">
      <c r="A290" s="11" t="inlineStr">
        <is>
          <t>TASK-X3</t>
        </is>
      </c>
      <c r="B290" s="11" t="inlineStr">
        <is>
          <t>Localise every new string en/nl/fr as written</t>
        </is>
      </c>
      <c r="C290" s="11" t="inlineStr">
        <is>
          <t>Tasks · i18n</t>
        </is>
      </c>
      <c r="D290" s="13" t="inlineStr">
        <is>
          <t>P1</t>
        </is>
      </c>
      <c r="E290" s="11" t="inlineStr">
        <is>
          <t>Open</t>
        </is>
      </c>
      <c r="F290" s="11" t="inlineStr">
        <is>
          <t>coral-task-manager.md</t>
        </is>
      </c>
      <c r="G290" s="11" t="inlineStr"/>
    </row>
    <row r="291">
      <c r="A291" s="11" t="inlineStr">
        <is>
          <t>TASK-M8</t>
        </is>
      </c>
      <c r="B291" s="11" t="inlineStr">
        <is>
          <t>Recurrence engine: 6 defects — month-end rollover (31 Jan -&gt; 3 Mar), 29 Feb yearly, interval 0 infinite loop, weekly interval ignored, no catch-up, unparseable rules vanish silently. + repeat-from-due vs from-completion</t>
        </is>
      </c>
      <c r="C291" s="11" t="inlineStr">
        <is>
          <t>Tasks · Recurrence</t>
        </is>
      </c>
      <c r="D291" s="12" t="inlineStr">
        <is>
          <t>P0</t>
        </is>
      </c>
      <c r="E291" s="16" t="inlineStr">
        <is>
          <t>Done</t>
        </is>
      </c>
      <c r="F291" s="11" t="inlineStr">
        <is>
          <t>coder-directive-tasks-part-a.md</t>
        </is>
      </c>
      <c r="G291" s="11" t="inlineStr">
        <is>
          <t>de59819</t>
        </is>
      </c>
    </row>
    <row r="292">
      <c r="A292" s="11" t="inlineStr">
        <is>
          <t>TASK-M8-TESTS</t>
        </is>
      </c>
      <c r="B292" s="11" t="inlineStr">
        <is>
          <t>tests/recurrence.test.ts — pure, deterministic, zero-dependency: month-end x3, leap year, interval 0, every-2-weeks-on-day, catch-up, reported parse failure, DST</t>
        </is>
      </c>
      <c r="C292" s="11" t="inlineStr">
        <is>
          <t>Tasks · Recurrence</t>
        </is>
      </c>
      <c r="D292" s="12" t="inlineStr">
        <is>
          <t>P0</t>
        </is>
      </c>
      <c r="E292" s="16" t="inlineStr">
        <is>
          <t>Done</t>
        </is>
      </c>
      <c r="F292" s="11" t="inlineStr">
        <is>
          <t>coder-directive-tasks-part-a.md</t>
        </is>
      </c>
      <c r="G292" s="11" t="inlineStr">
        <is>
          <t>de59819</t>
        </is>
      </c>
    </row>
    <row r="293">
      <c r="A293" s="11" t="inlineStr">
        <is>
          <t>TASK-F1-SCHEMA</t>
        </is>
      </c>
      <c r="B293" s="11" t="inlineStr">
        <is>
          <t>15 of 18 task properties are written but never declared in the db-tasks schema. Part A declares the 7 it uses; the other 8 remain undeclared</t>
        </is>
      </c>
      <c r="C293" s="11" t="inlineStr">
        <is>
          <t>Tasks · Schema</t>
        </is>
      </c>
      <c r="D293" s="13" t="inlineStr">
        <is>
          <t>P1</t>
        </is>
      </c>
      <c r="E293" s="16" t="inlineStr">
        <is>
          <t>Done</t>
        </is>
      </c>
      <c r="F293" s="11" t="inlineStr">
        <is>
          <t>coder-directive-tasks-part-a.md</t>
        </is>
      </c>
      <c r="G293" s="11" t="inlineStr">
        <is>
          <t>23047fd</t>
        </is>
      </c>
    </row>
    <row r="294">
      <c r="A294" s="11" t="inlineStr">
        <is>
          <t>TASK-M3b</t>
        </is>
      </c>
      <c r="B294" s="11" t="inlineStr">
        <is>
          <t>Cold offline: sw.js is a 27-line pass-through with no caching, so the installed app cannot open without network. Needs a real caching strategy</t>
        </is>
      </c>
      <c r="C294" s="11" t="inlineStr">
        <is>
          <t>Tasks · Mobile</t>
        </is>
      </c>
      <c r="D294" s="14" t="inlineStr">
        <is>
          <t>P2</t>
        </is>
      </c>
      <c r="E294" s="11" t="inlineStr">
        <is>
          <t>Open</t>
        </is>
      </c>
      <c r="F294" s="11" t="inlineStr">
        <is>
          <t>coder-directive-tasks-part-a.md</t>
        </is>
      </c>
      <c r="G294" s="11" t="inlineStr">
        <is>
          <t>Finding F2 — out of Part A</t>
        </is>
      </c>
    </row>
    <row r="295">
      <c r="A295" s="11" t="inlineStr">
        <is>
          <t>TASK-M9</t>
        </is>
      </c>
      <c r="B295" s="11" t="inlineStr">
        <is>
          <t>Tasks as its own installable PWA: manifest-tasks.json, start_url /m/tasks?capture=1 (opens focused on capture), scope /m, 4th branch in layout manifest selector + shortcuts on manifest-mobile</t>
        </is>
      </c>
      <c r="C295" s="11" t="inlineStr">
        <is>
          <t>Tasks · Mobile</t>
        </is>
      </c>
      <c r="D295" s="12" t="inlineStr">
        <is>
          <t>P0</t>
        </is>
      </c>
      <c r="E295" s="16" t="inlineStr">
        <is>
          <t>Done</t>
        </is>
      </c>
      <c r="F295" s="11" t="inlineStr">
        <is>
          <t>coder-directive-tasks-part-a.md</t>
        </is>
      </c>
      <c r="G295" s="11" t="inlineStr">
        <is>
          <t>d9216da</t>
        </is>
      </c>
    </row>
    <row r="296">
      <c r="A296" s="11" t="inlineStr">
        <is>
          <t>TASK-M9-IOS</t>
        </is>
      </c>
      <c r="B296" s="11" t="inlineStr">
        <is>
          <t>CONFIRMED: iOS gives each home-screen app its own storage container — own login, own IndexedDB, own syncQueue, empty on first launch. Tasks app must therefore load db-tasks ONLY (MEM-3 lazy path), not the full workspace</t>
        </is>
      </c>
      <c r="C296" s="11" t="inlineStr">
        <is>
          <t>Tasks · Mobile</t>
        </is>
      </c>
      <c r="D296" s="13" t="inlineStr">
        <is>
          <t>P1</t>
        </is>
      </c>
      <c r="E296" s="16" t="inlineStr">
        <is>
          <t>Done</t>
        </is>
      </c>
      <c r="F296" s="11" t="inlineStr">
        <is>
          <t>coder-directive-tasks-part-a.md</t>
        </is>
      </c>
      <c r="G296" s="11" t="inlineStr">
        <is>
          <t>Florin confirmed w/ sources 2026-09-12 — now a design input</t>
        </is>
      </c>
    </row>
    <row r="297">
      <c r="A297" s="11" t="inlineStr">
        <is>
          <t>DEP-0</t>
        </is>
      </c>
      <c r="B297" s="11" t="inlineStr">
        <is>
          <t>DECIDE: dependencies informational (rename the UI, stop) vs enforcing (blocked = deferred, propagates). Half-enforcement is worse than none</t>
        </is>
      </c>
      <c r="C297" s="11" t="inlineStr">
        <is>
          <t>Tasks · Dependencies</t>
        </is>
      </c>
      <c r="D297" s="13" t="inlineStr">
        <is>
          <t>P1</t>
        </is>
      </c>
      <c r="E297" s="15" t="inlineStr">
        <is>
          <t>Dropped</t>
        </is>
      </c>
      <c r="F297" s="11" t="inlineStr">
        <is>
          <t>coral-task-dependencies.md</t>
        </is>
      </c>
      <c r="G297" s="11" t="inlineStr">
        <is>
          <t>WITHDRAWN 2026-09-12 — Florin: subtasks over dependencies. Feature deleted; stored data left intact</t>
        </is>
      </c>
    </row>
    <row r="298">
      <c r="A298" s="11" t="inlineStr">
        <is>
          <t>DEP-1</t>
        </is>
      </c>
      <c r="B298" s="11" t="inlineStr">
        <is>
          <t>Referential integrity: deleting a task leaves dangling ids in depends-on arrays, silently filtered out of the render. Report, never drop</t>
        </is>
      </c>
      <c r="C298" s="11" t="inlineStr">
        <is>
          <t>Tasks · Dependencies</t>
        </is>
      </c>
      <c r="D298" s="14" t="inlineStr">
        <is>
          <t>P2</t>
        </is>
      </c>
      <c r="E298" s="15" t="inlineStr">
        <is>
          <t>Dropped</t>
        </is>
      </c>
      <c r="F298" s="11" t="inlineStr">
        <is>
          <t>coral-task-dependencies.md</t>
        </is>
      </c>
      <c r="G298" s="11" t="inlineStr">
        <is>
          <t>WITHDRAWN 2026-09-12 — Florin: subtasks over dependencies. Feature deleted; stored data left intact</t>
        </is>
      </c>
    </row>
    <row r="299">
      <c r="A299" s="11" t="inlineStr">
        <is>
          <t>DEP-2</t>
        </is>
      </c>
      <c r="B299" s="11" t="inlineStr">
        <is>
          <t>Cycle detection: A-&gt;B-&gt;A is representable and blocks both forever. Refuse at the edit, name the path</t>
        </is>
      </c>
      <c r="C299" s="11" t="inlineStr">
        <is>
          <t>Tasks · Dependencies</t>
        </is>
      </c>
      <c r="D299" s="14" t="inlineStr">
        <is>
          <t>P2</t>
        </is>
      </c>
      <c r="E299" s="15" t="inlineStr">
        <is>
          <t>Dropped</t>
        </is>
      </c>
      <c r="F299" s="11" t="inlineStr">
        <is>
          <t>coral-task-dependencies.md</t>
        </is>
      </c>
      <c r="G299" s="11" t="inlineStr">
        <is>
          <t>WITHDRAWN 2026-09-12 — Florin: subtasks over dependencies. Feature deleted; stored data left intact</t>
        </is>
      </c>
    </row>
    <row r="300">
      <c r="A300" s="11" t="inlineStr">
        <is>
          <t>DEP-3</t>
        </is>
      </c>
      <c r="B300" s="11" t="inlineStr">
        <is>
          <t>One isBlocked() derivation read by list/board/Today/review/mobile — only under DEP-0(b)</t>
        </is>
      </c>
      <c r="C300" s="11" t="inlineStr">
        <is>
          <t>Tasks · Dependencies</t>
        </is>
      </c>
      <c r="D300" s="14" t="inlineStr">
        <is>
          <t>P2</t>
        </is>
      </c>
      <c r="E300" s="15" t="inlineStr">
        <is>
          <t>Dropped</t>
        </is>
      </c>
      <c r="F300" s="11" t="inlineStr">
        <is>
          <t>coral-task-dependencies.md</t>
        </is>
      </c>
      <c r="G300" s="11" t="inlineStr">
        <is>
          <t>WITHDRAWN 2026-09-12 — Florin: subtasks over dependencies. Feature deleted; stored data left intact</t>
        </is>
      </c>
    </row>
    <row r="301">
      <c r="A301" s="11" t="inlineStr">
        <is>
          <t>DEP-4</t>
        </is>
      </c>
      <c r="B301" s="11" t="inlineStr">
        <is>
          <t>Propagation: completing the last prerequisite releases the dependent (makes available, does not reschedule)</t>
        </is>
      </c>
      <c r="C301" s="11" t="inlineStr">
        <is>
          <t>Tasks · Dependencies</t>
        </is>
      </c>
      <c r="D301" s="14" t="inlineStr">
        <is>
          <t>P2</t>
        </is>
      </c>
      <c r="E301" s="15" t="inlineStr">
        <is>
          <t>Dropped</t>
        </is>
      </c>
      <c r="F301" s="11" t="inlineStr">
        <is>
          <t>coral-task-dependencies.md</t>
        </is>
      </c>
      <c r="G301" s="11" t="inlineStr">
        <is>
          <t>WITHDRAWN 2026-09-12 — Florin: subtasks over dependencies. Feature deleted; stored data left intact</t>
        </is>
      </c>
    </row>
    <row r="302">
      <c r="A302" s="11" t="inlineStr">
        <is>
          <t>DEP-5</t>
        </is>
      </c>
      <c r="B302" s="11" t="inlineStr">
        <is>
          <t>Reverse dependents index instead of an O(n) scan per render</t>
        </is>
      </c>
      <c r="C302" s="11" t="inlineStr">
        <is>
          <t>Tasks · Dependencies</t>
        </is>
      </c>
      <c r="D302" s="17" t="inlineStr">
        <is>
          <t>P3</t>
        </is>
      </c>
      <c r="E302" s="15" t="inlineStr">
        <is>
          <t>Dropped</t>
        </is>
      </c>
      <c r="F302" s="11" t="inlineStr">
        <is>
          <t>coral-task-dependencies.md</t>
        </is>
      </c>
      <c r="G302" s="11" t="inlineStr">
        <is>
          <t>WITHDRAWN 2026-09-12 — Florin: subtasks over dependencies. Feature deleted; stored data left intact</t>
        </is>
      </c>
    </row>
    <row r="303">
      <c r="A303" s="11" t="inlineStr">
        <is>
          <t>TASK-STATUS-GATE</t>
        </is>
      </c>
      <c r="B303" s="11" t="inlineStr">
        <is>
          <t>READ-ONLY count: db-tasks pages with prop-task-status starting t- vs opt-. If any t- exist, STOP — that is PROJ-2 work</t>
        </is>
      </c>
      <c r="C303" s="11" t="inlineStr">
        <is>
          <t>Tasks · Schema</t>
        </is>
      </c>
      <c r="D303" s="12" t="inlineStr">
        <is>
          <t>P0</t>
        </is>
      </c>
      <c r="E303" s="11" t="inlineStr">
        <is>
          <t>Open</t>
        </is>
      </c>
      <c r="F303" s="11" t="inlineStr">
        <is>
          <t>coder-directive-tasks-part-a.md</t>
        </is>
      </c>
      <c r="G303" s="11" t="inlineStr">
        <is>
          <t>Gates F1</t>
        </is>
      </c>
    </row>
    <row r="304">
      <c r="A304" s="11" t="inlineStr">
        <is>
          <t>TASK-M10</t>
        </is>
      </c>
      <c r="B304" s="11" t="inlineStr">
        <is>
          <t>Assign a task to a project from the mobile list (not in the capture path). Picker sourced from the in-memory pageIndex filtered to db-1 — never loads the projects database</t>
        </is>
      </c>
      <c r="C304" s="11" t="inlineStr">
        <is>
          <t>Tasks · Mobile</t>
        </is>
      </c>
      <c r="D304" s="12" t="inlineStr">
        <is>
          <t>P0</t>
        </is>
      </c>
      <c r="E304" s="16" t="inlineStr">
        <is>
          <t>Done</t>
        </is>
      </c>
      <c r="F304" s="11" t="inlineStr">
        <is>
          <t>coder-directive-tasks-part-a.md</t>
        </is>
      </c>
      <c r="G304" s="11" t="inlineStr">
        <is>
          <t>896f38f</t>
        </is>
      </c>
    </row>
    <row r="305">
      <c r="A305" s="11" t="inlineStr">
        <is>
          <t>TASK-NO-SUBDOMAIN</t>
        </is>
      </c>
      <c r="B305" s="11" t="inlineStr">
        <is>
          <t>DECIDED: no subdomain for tasks — route only. Different origin would split cookies/session on every platform and need a 3rd auth-redirect branch, for no gain (iOS already isolates per installed app)</t>
        </is>
      </c>
      <c r="C305" s="11" t="inlineStr">
        <is>
          <t>Tasks · Mobile</t>
        </is>
      </c>
      <c r="D305" s="17" t="inlineStr">
        <is>
          <t>P3</t>
        </is>
      </c>
      <c r="E305" s="16" t="inlineStr">
        <is>
          <t>Done</t>
        </is>
      </c>
      <c r="F305" s="11" t="inlineStr">
        <is>
          <t>coral-task-manager.md</t>
        </is>
      </c>
      <c r="G305" s="11" t="inlineStr">
        <is>
          <t>D2 — recorded so it is not re-litigated</t>
        </is>
      </c>
    </row>
    <row r="306">
      <c r="A306" s="11" t="inlineStr">
        <is>
          <t>TASK-A-E1</t>
        </is>
      </c>
      <c r="B306" s="11" t="inlineStr">
        <is>
          <t>FLORIN DECISION: keep or revert a2dc5ba (DependencyGraph +283/-60 — desktop fence breach + DEP-0 decided by the coder)</t>
        </is>
      </c>
      <c r="C306" s="11" t="inlineStr">
        <is>
          <t>Tasks · Process</t>
        </is>
      </c>
      <c r="D306" s="12" t="inlineStr">
        <is>
          <t>P0</t>
        </is>
      </c>
      <c r="E306" s="16" t="inlineStr">
        <is>
          <t>Done</t>
        </is>
      </c>
      <c r="F306" s="11" t="inlineStr">
        <is>
          <t>coder-directive-tasks-part-a.md</t>
        </is>
      </c>
      <c r="G306" s="11" t="inlineStr">
        <is>
          <t>[P0.1] RESOLVED: remove entirely -&gt; DEP-REMOVE (item 1.0)</t>
        </is>
      </c>
    </row>
    <row r="307">
      <c r="A307" s="11" t="inlineStr">
        <is>
          <t>TASK-A-E3</t>
        </is>
      </c>
      <c r="B307" s="11" t="inlineStr">
        <is>
          <t>Report the t- vs opt- live count. No hedge: opt-* only, or STOP as PROJ-2 work</t>
        </is>
      </c>
      <c r="C307" s="11" t="inlineStr">
        <is>
          <t>Tasks · Schema</t>
        </is>
      </c>
      <c r="D307" s="12" t="inlineStr">
        <is>
          <t>P0</t>
        </is>
      </c>
      <c r="E307" s="12" t="inlineStr">
        <is>
          <t>Open</t>
        </is>
      </c>
      <c r="F307" s="11" t="inlineStr">
        <is>
          <t>coder-directive-tasks-part-a.md</t>
        </is>
      </c>
      <c r="G307" s="11" t="inlineStr">
        <is>
          <t>38 t-* records found — gate tripped but run continued. See TASK-STATUS-38</t>
        </is>
      </c>
    </row>
    <row r="308">
      <c r="A308" s="11" t="inlineStr">
        <is>
          <t>TASK-A-E7</t>
        </is>
      </c>
      <c r="B308" s="11" t="inlineStr">
        <is>
          <t>Report measured capture times: 1 tap from the Tasks icon, &lt;=2 taps / &lt;=5s from cold</t>
        </is>
      </c>
      <c r="C308" s="11" t="inlineStr">
        <is>
          <t>Tasks · Mobile</t>
        </is>
      </c>
      <c r="D308" s="13" t="inlineStr">
        <is>
          <t>P1</t>
        </is>
      </c>
      <c r="E308" s="16" t="inlineStr">
        <is>
          <t>Done</t>
        </is>
      </c>
      <c r="F308" s="11" t="inlineStr">
        <is>
          <t>coder-directive-tasks-part-a.md</t>
        </is>
      </c>
      <c r="G308" s="11" t="inlineStr">
        <is>
          <t>2.4 report: 1 tap, 1.2s, 35KB</t>
        </is>
      </c>
    </row>
    <row r="309">
      <c r="A309" s="11" t="inlineStr">
        <is>
          <t>LAZY-1</t>
        </is>
      </c>
      <c r="B309" s="11" t="inlineStr">
        <is>
          <t>SWEEP: which surfaces read store pages without requesting them? Table of surface/databases/broken Y-N. REPORT BEFORE FIXING</t>
        </is>
      </c>
      <c r="C309" s="11" t="inlineStr">
        <is>
          <t>Performance · Lazy load</t>
        </is>
      </c>
      <c r="D309" s="12" t="inlineStr">
        <is>
          <t>P0</t>
        </is>
      </c>
      <c r="E309" s="16" t="inlineStr">
        <is>
          <t>Done</t>
        </is>
      </c>
      <c r="F309" s="11" t="inlineStr">
        <is>
          <t>coral-lazy-load-regression.md</t>
        </is>
      </c>
      <c r="G309" s="11" t="inlineStr">
        <is>
          <t>[P1.1] 19 surfaces audited, 16 broken. NOT on main — promotion blocker, not an outage</t>
        </is>
      </c>
    </row>
    <row r="310">
      <c r="A310" s="11" t="inlineStr">
        <is>
          <t>LAZY-2</t>
        </is>
      </c>
      <c r="B310" s="11" t="inlineStr">
        <is>
          <t>Make not-loaded indistinguishable from empty impossible: usePagesOf(dbId) returning {pages,status}; dev warning naming db + caller</t>
        </is>
      </c>
      <c r="C310" s="11" t="inlineStr">
        <is>
          <t>Performance · Lazy load</t>
        </is>
      </c>
      <c r="D310" s="12" t="inlineStr">
        <is>
          <t>P0</t>
        </is>
      </c>
      <c r="E310" s="11" t="inlineStr">
        <is>
          <t>Open</t>
        </is>
      </c>
      <c r="F310" s="11" t="inlineStr">
        <is>
          <t>coral-lazy-load-regression.md</t>
        </is>
      </c>
      <c r="G310" s="11" t="inlineStr">
        <is>
          <t>[P1.2] Step 0: classify A (needs rows) vs B (needs labels only). Class B uses pageIndex, NOT loadDatabasePages</t>
        </is>
      </c>
    </row>
    <row r="311">
      <c r="A311" s="11" t="inlineStr">
        <is>
          <t>LAZY-3</t>
        </is>
      </c>
      <c r="B311" s="11" t="inlineStr">
        <is>
          <t>Fix TaskModuleShell: resolveDbId at 5 sites + request pages. Fence exception granted (live regression)</t>
        </is>
      </c>
      <c r="C311" s="11" t="inlineStr">
        <is>
          <t>Performance · Lazy load</t>
        </is>
      </c>
      <c r="D311" s="12" t="inlineStr">
        <is>
          <t>P0</t>
        </is>
      </c>
      <c r="E311" s="11" t="inlineStr">
        <is>
          <t>Open</t>
        </is>
      </c>
      <c r="F311" s="11" t="inlineStr">
        <is>
          <t>coral-lazy-load-regression.md</t>
        </is>
      </c>
      <c r="G311" s="11" t="inlineStr">
        <is>
          <t>[P1.3]</t>
        </is>
      </c>
    </row>
    <row r="312">
      <c r="A312" s="11" t="inlineStr">
        <is>
          <t>LAZY-4</t>
        </is>
      </c>
      <c r="B312" s="11" t="inlineStr">
        <is>
          <t>IS_LAZY_DATA_ENABLED defaults ON in every env — MEM-3c specified a flag with the old path one toggle away. Flip default off until LAZY-1 is clean, or delete the flag</t>
        </is>
      </c>
      <c r="C312" s="11" t="inlineStr">
        <is>
          <t>Performance · Lazy load</t>
        </is>
      </c>
      <c r="D312" s="13" t="inlineStr">
        <is>
          <t>P1</t>
        </is>
      </c>
      <c r="E312" s="16" t="inlineStr">
        <is>
          <t>Done</t>
        </is>
      </c>
      <c r="F312" s="11" t="inlineStr">
        <is>
          <t>coral-lazy-load-regression.md</t>
        </is>
      </c>
      <c r="G312" s="11" t="inlineStr">
        <is>
          <t>1830c55 — flag defaulted to false</t>
        </is>
      </c>
    </row>
    <row r="313">
      <c r="A313" s="11" t="inlineStr">
        <is>
          <t>TASK-M11</t>
        </is>
      </c>
      <c r="B313" s="11" t="inlineStr">
        <is>
          <t>Mobile task detail sheet — tap row opens editable detail (due/defer/flag/priority/notes/project/recurrence/status + delete). PLANNER OMISSION</t>
        </is>
      </c>
      <c r="C313" s="11" t="inlineStr">
        <is>
          <t>Tasks · Mobile</t>
        </is>
      </c>
      <c r="D313" s="12" t="inlineStr">
        <is>
          <t>P0</t>
        </is>
      </c>
      <c r="E313" s="16" t="inlineStr">
        <is>
          <t>Done</t>
        </is>
      </c>
      <c r="F313" s="11" t="inlineStr">
        <is>
          <t>coder-directive-tasks-part-a.md</t>
        </is>
      </c>
      <c r="G313" s="11" t="inlineStr">
        <is>
          <t>62865a7</t>
        </is>
      </c>
    </row>
    <row r="314">
      <c r="A314" s="11" t="inlineStr">
        <is>
          <t>R2-6</t>
        </is>
      </c>
      <c r="B314" s="11" t="inlineStr">
        <is>
          <t>DECIDE THE READ MODEL: two read models already exist (Zustand full-database store + React Query). Lazy loading is a mitigation, not a model. (a) keep+lazy (b) index + per-view queries (c) stated hybrid</t>
        </is>
      </c>
      <c r="C314" s="11" t="inlineStr">
        <is>
          <t>Persistence (R2)</t>
        </is>
      </c>
      <c r="D314" s="12" t="inlineStr">
        <is>
          <t>P0</t>
        </is>
      </c>
      <c r="E314" s="16" t="inlineStr">
        <is>
          <t>Done</t>
        </is>
      </c>
      <c r="F314" s="11" t="inlineStr">
        <is>
          <t>coral-r2-write-path.md</t>
        </is>
      </c>
      <c r="G314" s="11" t="inlineStr">
        <is>
          <t>[P0.3] DECIDED (c) HYBRID: INDEX offline + WORKING SET offline-complete + rest per-view query. Driver: site visit must survive signal loss</t>
        </is>
      </c>
    </row>
    <row r="315">
      <c r="A315" s="11" t="inlineStr">
        <is>
          <t>LAZY-2b</t>
        </is>
      </c>
      <c r="B315" s="11" t="inlineStr">
        <is>
          <t>Class B surfaces (pickers, chips, Cmd+K) fixed via pageIndex/useLabelsOf — never by loading db-clients/db-suppliers/db-articles/db-1. UniversalSearch searches the index; deeper = server query</t>
        </is>
      </c>
      <c r="C315" s="11" t="inlineStr">
        <is>
          <t>Performance · Lazy load</t>
        </is>
      </c>
      <c r="D315" s="12" t="inlineStr">
        <is>
          <t>P0</t>
        </is>
      </c>
      <c r="E315" s="11" t="inlineStr">
        <is>
          <t>Open</t>
        </is>
      </c>
      <c r="F315" s="11" t="inlineStr">
        <is>
          <t>coral-lazy-load-regression.md</t>
        </is>
      </c>
      <c r="G315" s="11" t="inlineStr">
        <is>
          <t>[P1.2] Planner correction — would undo MEM-3 otherwise</t>
        </is>
      </c>
    </row>
    <row r="316">
      <c r="A316" s="11" t="inlineStr">
        <is>
          <t>PROMOTE-GATE</t>
        </is>
      </c>
      <c r="B316" s="11" t="inlineStr">
        <is>
          <t>develop -&gt; main: 99 commits, all 4 money paths changed. Plan + gates + staging pass in coral-promotion-plan.md. G-1: Phase 1 MUST be complete or promotion is a downgrade (16 surfaces work in prod today)</t>
        </is>
      </c>
      <c r="C316" s="11" t="inlineStr">
        <is>
          <t>Release</t>
        </is>
      </c>
      <c r="D316" s="12" t="inlineStr">
        <is>
          <t>P0</t>
        </is>
      </c>
      <c r="E316" s="11" t="inlineStr">
        <is>
          <t>Open</t>
        </is>
      </c>
      <c r="F316" s="11" t="inlineStr">
        <is>
          <t>coral-promotion-plan.md</t>
        </is>
      </c>
      <c r="G316" s="11" t="inlineStr">
        <is>
          <t>99 commits behind</t>
        </is>
      </c>
    </row>
    <row r="317">
      <c r="A317" s="11" t="inlineStr">
        <is>
          <t>DEP-REMOVE</t>
        </is>
      </c>
      <c r="B317" s="11" t="inlineStr">
        <is>
          <t>Delete DependencyEngine.ts, DependencyGraph.tsx, task-dependencies.test.ts and the TaskModuleShell render path + depends-on initialisation. Stored data LEFT UNTOUCHED</t>
        </is>
      </c>
      <c r="C317" s="11" t="inlineStr">
        <is>
          <t>Tasks · Removal</t>
        </is>
      </c>
      <c r="D317" s="12" t="inlineStr">
        <is>
          <t>P0</t>
        </is>
      </c>
      <c r="E317" s="16" t="inlineStr">
        <is>
          <t>Done</t>
        </is>
      </c>
      <c r="F317" s="11" t="inlineStr">
        <is>
          <t>coder-directive-dep-removal.md</t>
        </is>
      </c>
      <c r="G317" s="11" t="inlineStr">
        <is>
          <t>4679e08</t>
        </is>
      </c>
    </row>
    <row r="318">
      <c r="A318" s="11" t="inlineStr">
        <is>
          <t>TASK-SUBTASKS</t>
        </is>
      </c>
      <c r="B318" s="11" t="inlineStr">
        <is>
          <t>Subtasks (containment: parent task -&gt; steps) — what Florin wants instead of dependencies. UNSCOPED, unauthorised</t>
        </is>
      </c>
      <c r="C318" s="11" t="inlineStr">
        <is>
          <t>Tasks · Future</t>
        </is>
      </c>
      <c r="D318" s="14" t="inlineStr">
        <is>
          <t>P2</t>
        </is>
      </c>
      <c r="E318" s="11" t="inlineStr">
        <is>
          <t>Open</t>
        </is>
      </c>
      <c r="F318" s="11" t="inlineStr">
        <is>
          <t>coral-task-manager.md</t>
        </is>
      </c>
      <c r="G318" s="11" t="inlineStr">
        <is>
          <t>Part B/C scoping</t>
        </is>
      </c>
    </row>
    <row r="319">
      <c r="A319" s="11" t="inlineStr">
        <is>
          <t>PROMOTE-P1</t>
        </is>
      </c>
      <c r="B319" s="11" t="inlineStr">
        <is>
          <t>Verify DB state before promoting: prisma migrate status + migrate diff against production. Expect no pending, empty diff</t>
        </is>
      </c>
      <c r="C319" s="11" t="inlineStr">
        <is>
          <t>Release</t>
        </is>
      </c>
      <c r="D319" s="12" t="inlineStr">
        <is>
          <t>P0</t>
        </is>
      </c>
      <c r="E319" s="11" t="inlineStr">
        <is>
          <t>Open</t>
        </is>
      </c>
      <c r="F319" s="11" t="inlineStr">
        <is>
          <t>coral-promotion-plan.md</t>
        </is>
      </c>
      <c r="G319" s="11" t="inlineStr">
        <is>
          <t>Florin runs</t>
        </is>
      </c>
    </row>
    <row r="320">
      <c r="A320" s="11" t="inlineStr">
        <is>
          <t>PROMOTE-STAGING</t>
        </is>
      </c>
      <c r="B320" s="11" t="inlineStr">
        <is>
          <t>Cut release/2026-09, deploy to staging, run the 9-point pass with real data before main</t>
        </is>
      </c>
      <c r="C320" s="11" t="inlineStr">
        <is>
          <t>Release</t>
        </is>
      </c>
      <c r="D320" s="12" t="inlineStr">
        <is>
          <t>P0</t>
        </is>
      </c>
      <c r="E320" s="11" t="inlineStr">
        <is>
          <t>Open</t>
        </is>
      </c>
      <c r="F320" s="11" t="inlineStr">
        <is>
          <t>coral-promotion-plan.md</t>
        </is>
      </c>
      <c r="G320" s="11" t="inlineStr">
        <is>
          <t>pd.md Rule 8</t>
        </is>
      </c>
    </row>
    <row r="321">
      <c r="A321" s="11" t="inlineStr">
        <is>
          <t>I18N-GATE</t>
        </is>
      </c>
      <c r="B321" s="11" t="inlineStr">
        <is>
          <t>Fix I18N-MISSING-KEYS before promotion so the test baseline is honestly green</t>
        </is>
      </c>
      <c r="C321" s="11" t="inlineStr">
        <is>
          <t>i18n</t>
        </is>
      </c>
      <c r="D321" s="13" t="inlineStr">
        <is>
          <t>P1</t>
        </is>
      </c>
      <c r="E321" s="11" t="inlineStr">
        <is>
          <t>Open</t>
        </is>
      </c>
      <c r="F321" s="11" t="inlineStr">
        <is>
          <t>coral-promotion-plan.md</t>
        </is>
      </c>
      <c r="G321" s="11" t="inlineStr">
        <is>
          <t>G-3</t>
        </is>
      </c>
    </row>
    <row r="322">
      <c r="A322" s="11" t="inlineStr">
        <is>
          <t>R2-7</t>
        </is>
      </c>
      <c r="B322" s="11" t="inlineStr">
        <is>
          <t>What defines a WORKING SET (explicit pin? today scheduled shifts? last-opened?) — FLORIN decision, do not infer</t>
        </is>
      </c>
      <c r="C322" s="11" t="inlineStr">
        <is>
          <t>Persistence (R2)</t>
        </is>
      </c>
      <c r="D322" s="13" t="inlineStr">
        <is>
          <t>P1</t>
        </is>
      </c>
      <c r="E322" s="11" t="inlineStr">
        <is>
          <t>Open</t>
        </is>
      </c>
      <c r="F322" s="11" t="inlineStr">
        <is>
          <t>coral-r2-write-path.md</t>
        </is>
      </c>
      <c r="G322" s="11" t="inlineStr">
        <is>
          <t>[P4.6] Comes up in Phase 4</t>
        </is>
      </c>
    </row>
    <row r="323">
      <c r="A323" s="11" t="inlineStr">
        <is>
          <t>R2-6-RULE1</t>
        </is>
      </c>
      <c r="B323" s="11" t="inlineStr">
        <is>
          <t>Degrade gracefully, do not enumerate: an uncached record offline shows an honest specific state. LAZY-2 status must include offline-unavailable as distinct from loading/error/empty</t>
        </is>
      </c>
      <c r="C323" s="11" t="inlineStr">
        <is>
          <t>Persistence (R2)</t>
        </is>
      </c>
      <c r="D323" s="12" t="inlineStr">
        <is>
          <t>P0</t>
        </is>
      </c>
      <c r="E323" s="11" t="inlineStr">
        <is>
          <t>Open</t>
        </is>
      </c>
      <c r="F323" s="11" t="inlineStr">
        <is>
          <t>coral-r2-write-path.md</t>
        </is>
      </c>
      <c r="G323" s="11" t="inlineStr">
        <is>
          <t>Binding rule from R2-6(c)</t>
        </is>
      </c>
    </row>
    <row r="324">
      <c r="A324" s="11" t="inlineStr">
        <is>
          <t>R2-6-RULE2</t>
        </is>
      </c>
      <c r="B324" s="11" t="inlineStr">
        <is>
          <t>The tenant must SEE what they carry offline before losing signal — working set visible and where it matters chosen, not a guessed cache</t>
        </is>
      </c>
      <c r="C324" s="11" t="inlineStr">
        <is>
          <t>Persistence (R2)</t>
        </is>
      </c>
      <c r="D324" s="13" t="inlineStr">
        <is>
          <t>P1</t>
        </is>
      </c>
      <c r="E324" s="11" t="inlineStr">
        <is>
          <t>Open</t>
        </is>
      </c>
      <c r="F324" s="11" t="inlineStr">
        <is>
          <t>coral-r2-write-path.md</t>
        </is>
      </c>
      <c r="G324" s="11" t="inlineStr">
        <is>
          <t>Binding rule from R2-6(c)</t>
        </is>
      </c>
    </row>
    <row r="325">
      <c r="A325" s="11" t="inlineStr">
        <is>
          <t>TASK-STATUS-38</t>
        </is>
      </c>
      <c r="B325" s="11" t="inlineStr">
        <is>
          <t>RETRACTED: the 38 are NOT legacy. All carry a project; t-* is the live project-subsystem convention with 5 active writers and the progress automation keyed to it. Migrating would break project completion</t>
        </is>
      </c>
      <c r="C325" s="11" t="inlineStr">
        <is>
          <t>Tasks · Schema</t>
        </is>
      </c>
      <c r="D325" s="12" t="inlineStr">
        <is>
          <t>P0</t>
        </is>
      </c>
      <c r="E325" s="15" t="inlineStr">
        <is>
          <t>Dropped</t>
        </is>
      </c>
      <c r="F325" s="11" t="inlineStr">
        <is>
          <t>task-status-38-records.sql</t>
        </is>
      </c>
      <c r="G325" s="11" t="inlineStr">
        <is>
          <t>Count: t-todo 22 / t-prog 11 / t-done 5</t>
        </is>
      </c>
    </row>
  </sheetData>
  <autoFilter ref="A1:G325"/>
  <dataValidations count="1">
    <dataValidation sqref="E2:E203" showDropDown="0" showInputMessage="0" showErrorMessage="0" allowBlank="1" type="list">
      <formula1>"Open,In progress,Done,Blocked,Dropped"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24" customWidth="1" min="1" max="1"/>
    <col width="80" customWidth="1" min="2" max="2"/>
    <col width="14" customWidth="1" min="3" max="3"/>
    <col width="10" customWidth="1" min="4" max="4"/>
  </cols>
  <sheetData>
    <row r="1" ht="22" customHeight="1">
      <c r="A1" s="1" t="inlineStr">
        <is>
          <t>ID</t>
        </is>
      </c>
      <c r="B1" s="1" t="inlineStr">
        <is>
          <t>Action</t>
        </is>
      </c>
      <c r="C1" s="1" t="inlineStr">
        <is>
          <t>Status</t>
        </is>
      </c>
      <c r="D1" s="1" t="inlineStr">
        <is>
          <t>Priority</t>
        </is>
      </c>
    </row>
    <row r="2">
      <c r="A2" s="2" t="inlineStr">
        <is>
          <t>ATT-5</t>
        </is>
      </c>
      <c r="B2" s="3" t="inlineStr">
        <is>
          <t>Re-send invoices already sent with annexes selected (went out PDF-only)</t>
        </is>
      </c>
      <c r="C2" s="5" t="inlineStr">
        <is>
          <t>Done</t>
        </is>
      </c>
      <c r="D2" s="2" t="inlineStr">
        <is>
          <t>P0</t>
        </is>
      </c>
    </row>
    <row r="3">
      <c r="A3" s="2" t="inlineStr">
        <is>
          <t>HR-5</t>
        </is>
      </c>
      <c r="B3" s="3" t="inlineStr">
        <is>
          <t>Extend Neon PITR window + set snapshot schedule</t>
        </is>
      </c>
      <c r="C3" s="2" t="inlineStr">
        <is>
          <t>Done</t>
        </is>
      </c>
      <c r="D3" s="2" t="inlineStr">
        <is>
          <t>P1</t>
        </is>
      </c>
    </row>
    <row r="4">
      <c r="A4" s="2" t="inlineStr">
        <is>
          <t>DEPLOY</t>
        </is>
      </c>
      <c r="B4" s="3" t="inlineStr">
        <is>
          <t>Push / deploy / migrations — Florin runs all of these</t>
        </is>
      </c>
      <c r="C4" s="2" t="inlineStr">
        <is>
          <t>Ongoing</t>
        </is>
      </c>
      <c r="D4" s="2" t="inlineStr">
        <is>
          <t>—</t>
        </is>
      </c>
    </row>
    <row r="5">
      <c r="A5" s="2" t="inlineStr">
        <is>
          <t>ROADMAP</t>
        </is>
      </c>
      <c r="B5" s="3" t="inlineStr">
        <is>
          <t>Mark items noticed in use here, e.g. "to-do P4: ..."</t>
        </is>
      </c>
      <c r="C5" s="2" t="inlineStr">
        <is>
          <t>Ongoing</t>
        </is>
      </c>
      <c r="D5" s="2" t="inlineStr">
        <is>
          <t>—</t>
        </is>
      </c>
    </row>
    <row r="6">
      <c r="A6" s="2" t="inlineStr">
        <is>
          <t>MEM-3c</t>
        </is>
      </c>
      <c r="B6" s="3" t="inlineStr">
        <is>
          <t>Verify the flagged lazy-load on real data for a week before removing the flag</t>
        </is>
      </c>
      <c r="C6" s="2" t="inlineStr">
        <is>
          <t>Open</t>
        </is>
      </c>
      <c r="D6" s="2" t="inlineStr">
        <is>
          <t>P1</t>
        </is>
      </c>
    </row>
    <row r="7">
      <c r="A7" s="2" t="inlineStr">
        <is>
          <t>ACCT-DECISIONS</t>
        </is>
      </c>
      <c r="B7" s="3" t="inlineStr">
        <is>
          <t>Decide accountant sharing: mechanism, channel, export format, cadence, scope</t>
        </is>
      </c>
      <c r="C7" s="2" t="inlineStr">
        <is>
          <t>Open</t>
        </is>
      </c>
      <c r="D7" s="2" t="inlineStr">
        <is>
          <t>P2</t>
        </is>
      </c>
    </row>
    <row r="8">
      <c r="A8" s="2" t="inlineStr">
        <is>
          <t>TENANTS</t>
        </is>
      </c>
      <c r="B8" s="3" t="inlineStr">
        <is>
          <t>Decide when to open free tier / onboard first tenants</t>
        </is>
      </c>
      <c r="C8" s="2" t="inlineStr">
        <is>
          <t>Open</t>
        </is>
      </c>
      <c r="D8" s="2" t="inlineStr">
        <is>
          <t>P2</t>
        </is>
      </c>
    </row>
    <row r="9">
      <c r="A9" s="11" t="inlineStr">
        <is>
          <t>MAIL-3</t>
        </is>
      </c>
      <c r="B9" s="11" t="inlineStr">
        <is>
          <t>After MAIL-1 ships: send one invoice, report the toast text</t>
        </is>
      </c>
      <c r="C9" s="16" t="inlineStr">
        <is>
          <t>Done</t>
        </is>
      </c>
      <c r="D9" s="11" t="inlineStr">
        <is>
          <t>P1</t>
        </is>
      </c>
    </row>
    <row r="10">
      <c r="A10" s="11" t="inlineStr">
        <is>
          <t>BLOB-4</t>
        </is>
      </c>
      <c r="B10" s="11" t="inlineStr">
        <is>
          <t>DECIDED: strict / all-or-nothing. No partial accountant exports.</t>
        </is>
      </c>
      <c r="C10" s="16" t="inlineStr">
        <is>
          <t>Done</t>
        </is>
      </c>
      <c r="D10" s="11" t="inlineStr">
        <is>
          <t>P0</t>
        </is>
      </c>
    </row>
    <row r="11">
      <c r="A11" s="11" t="inlineStr">
        <is>
          <t>BLOB-4b</t>
        </is>
      </c>
      <c r="B11" s="11" t="inlineStr">
        <is>
          <t>After BLOB-4: list records already stamped accountantExportedAt whose PDF never shipped, and close the gap by hand (bookkeeping)</t>
        </is>
      </c>
      <c r="C11" s="11" t="inlineStr">
        <is>
          <t>Open</t>
        </is>
      </c>
      <c r="D11" s="11" t="inlineStr">
        <is>
          <t>P1</t>
        </is>
      </c>
    </row>
    <row r="12">
      <c r="A12" s="11" t="inlineStr">
        <is>
          <t>SYSTEMS-PASS</t>
        </is>
      </c>
      <c r="B12" s="11" t="inlineStr">
        <is>
          <t>APPROVE or re-cut the root order in coral-systems-pass.md (key claim: the grid is a leaf of the write path, not a root)</t>
        </is>
      </c>
      <c r="C12" s="11" t="inlineStr">
        <is>
          <t>Open</t>
        </is>
      </c>
      <c r="D12" s="11" t="inlineStr">
        <is>
          <t>P0</t>
        </is>
      </c>
    </row>
    <row r="13">
      <c r="A13" s="11" t="inlineStr">
        <is>
          <t>SEC-TEST-ROUTE</t>
        </is>
      </c>
      <c r="B13" s="11" t="inlineStr">
        <is>
          <t>Delete /api/test-payment-plan, or tell me to hand it to the coder</t>
        </is>
      </c>
      <c r="C13" s="11" t="inlineStr">
        <is>
          <t>Open</t>
        </is>
      </c>
      <c r="D13" s="11" t="inlineStr">
        <is>
          <t>P0</t>
        </is>
      </c>
    </row>
    <row r="14">
      <c r="A14" s="11" t="inlineStr">
        <is>
          <t>BLOB-0</t>
        </is>
      </c>
      <c r="B14" s="11" t="inlineStr">
        <is>
          <t>Run blob-0-census.sql in Neon (query 1) — Neon not reachable from my side</t>
        </is>
      </c>
      <c r="C14" s="16" t="inlineStr">
        <is>
          <t>Done</t>
        </is>
      </c>
      <c r="D14" s="11" t="inlineStr">
        <is>
          <t>P1</t>
        </is>
      </c>
    </row>
    <row r="15">
      <c r="A15" s="11" t="inlineStr">
        <is>
          <t>EXPORT-LOCK-CORE</t>
        </is>
      </c>
      <c r="B15" s="11" t="inlineStr">
        <is>
          <t>DECIDE: patch the exported-document edit lock into app/actions/pages.ts now, or wait for R2-1</t>
        </is>
      </c>
      <c r="C15" s="16" t="inlineStr">
        <is>
          <t>Done</t>
        </is>
      </c>
      <c r="D15" s="11" t="inlineStr">
        <is>
          <t>P0</t>
        </is>
      </c>
    </row>
    <row r="16">
      <c r="A16" s="11" t="inlineStr">
        <is>
          <t>DOC-ARCH-5</t>
        </is>
      </c>
      <c r="B16" s="11" t="inlineStr">
        <is>
          <t>DECIDED: no bulk backfill; reconstruct manually as needed</t>
        </is>
      </c>
      <c r="C16" s="16" t="inlineStr">
        <is>
          <t>Done</t>
        </is>
      </c>
      <c r="D16" s="11" t="inlineStr">
        <is>
          <t>P2</t>
        </is>
      </c>
    </row>
    <row r="17">
      <c r="A17" s="11" t="inlineStr">
        <is>
          <t>TASK-A-E1</t>
        </is>
      </c>
      <c r="B17" s="11" t="inlineStr">
        <is>
          <t>DECIDED: remove dependencies entirely; subtasks instead</t>
        </is>
      </c>
      <c r="C17" s="16" t="inlineStr">
        <is>
          <t>Done</t>
        </is>
      </c>
      <c r="D17" s="11" t="inlineStr">
        <is>
          <t>P0</t>
        </is>
      </c>
    </row>
    <row r="18">
      <c r="A18" s="11" t="inlineStr">
        <is>
          <t>R2-6</t>
        </is>
      </c>
      <c r="B18" s="11" t="inlineStr">
        <is>
          <t>DECIDED: (c) hybrid — site visit must survive signal loss</t>
        </is>
      </c>
      <c r="C18" s="16" t="inlineStr">
        <is>
          <t>Done</t>
        </is>
      </c>
      <c r="D18" s="11" t="inlineStr">
        <is>
          <t>P0</t>
        </is>
      </c>
    </row>
    <row r="19">
      <c r="A19" s="11" t="inlineStr">
        <is>
          <t>SEQUENCE</t>
        </is>
      </c>
      <c r="B19" s="11" t="inlineStr">
        <is>
          <t>coral-execution-order.md is now the single binding sequence — overrides every spec ORDER section</t>
        </is>
      </c>
      <c r="C19" s="11" t="inlineStr">
        <is>
          <t>Done</t>
        </is>
      </c>
      <c r="D19" s="11" t="inlineStr">
        <is>
          <t>—</t>
        </is>
      </c>
    </row>
    <row r="20">
      <c r="A20" s="11" t="inlineStr">
        <is>
          <t>R2-6</t>
        </is>
      </c>
      <c r="B20" s="11" t="inlineStr">
        <is>
          <t>DECIDED: (c) hybrid — site visit must survive signal loss</t>
        </is>
      </c>
      <c r="C20" s="16" t="inlineStr">
        <is>
          <t>Done</t>
        </is>
      </c>
      <c r="D20" s="11" t="inlineStr">
        <is>
          <t>P1</t>
        </is>
      </c>
    </row>
    <row r="21">
      <c r="A21" s="11" t="inlineStr">
        <is>
          <t>PROMOTION</t>
        </is>
      </c>
      <c r="B21" s="11" t="inlineStr">
        <is>
          <t>Read coral-promotion-plan.md §2 — what changes for you on day one, esp. exported records becoming read-only</t>
        </is>
      </c>
      <c r="C21" s="11" t="inlineStr">
        <is>
          <t>Open</t>
        </is>
      </c>
      <c r="D21" s="11" t="inlineStr">
        <is>
          <t>P0</t>
        </is>
      </c>
    </row>
    <row r="22">
      <c r="A22" s="11" t="inlineStr">
        <is>
          <t>TASK-STATUS-38</t>
        </is>
      </c>
      <c r="B22" s="11" t="inlineStr">
        <is>
          <t>DO NOT RUN the UPDATE — retracted. Step 1 count was the finding</t>
        </is>
      </c>
      <c r="C22" s="16" t="inlineStr">
        <is>
          <t>Done</t>
        </is>
      </c>
      <c r="D22" s="11" t="inlineStr">
        <is>
          <t>P0</t>
        </is>
      </c>
    </row>
  </sheetData>
  <autoFilter ref="A1:D8"/>
  <dataValidations count="1">
    <dataValidation sqref="C2:C8" showDropDown="0" showInputMessage="0" showErrorMessage="0" allowBlank="1" type="list">
      <formula1>"Open,In progress,Done,Ongoing"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36"/>
  <sheetViews>
    <sheetView workbookViewId="0">
      <pane ySplit="1" topLeftCell="A2" activePane="bottomLeft" state="frozen"/>
      <selection pane="bottomLeft" activeCell="A1" sqref="A1"/>
    </sheetView>
  </sheetViews>
  <sheetFormatPr baseColWidth="8" defaultRowHeight="15"/>
  <cols>
    <col width="38" customWidth="1" min="1" max="1"/>
    <col width="14" customWidth="1" min="2" max="2"/>
  </cols>
  <sheetData>
    <row r="1" ht="22" customHeight="1">
      <c r="A1" s="1" t="inlineStr">
        <is>
          <t>Metric</t>
        </is>
      </c>
      <c r="B1" s="1" t="inlineStr">
        <is>
          <t>Count</t>
        </is>
      </c>
    </row>
    <row r="2">
      <c r="A2" s="2" t="inlineStr">
        <is>
          <t>Total items</t>
        </is>
      </c>
      <c r="B2" s="3">
        <f>COUNTA(Roadmap!A2:A325)</f>
        <v/>
      </c>
    </row>
    <row r="3">
      <c r="A3" s="2" t="inlineStr">
        <is>
          <t>Open</t>
        </is>
      </c>
      <c r="B3" s="3">
        <f>COUNTIF(Roadmap!E2:E325,"Open")</f>
        <v/>
      </c>
    </row>
    <row r="4">
      <c r="A4" s="2" t="inlineStr">
        <is>
          <t>In progress</t>
        </is>
      </c>
      <c r="B4" s="3">
        <f>COUNTIF(Roadmap!E2:E325,"In progress")</f>
        <v/>
      </c>
    </row>
    <row r="5">
      <c r="A5" s="2" t="inlineStr">
        <is>
          <t>Done</t>
        </is>
      </c>
      <c r="B5" s="3">
        <f>COUNTIF(Roadmap!E2:E325,"Done")</f>
        <v/>
      </c>
    </row>
    <row r="6">
      <c r="A6" s="2" t="inlineStr"/>
      <c r="B6" s="3" t="inlineStr"/>
    </row>
    <row r="7">
      <c r="A7" s="2" t="inlineStr">
        <is>
          <t>P0 total</t>
        </is>
      </c>
      <c r="B7" s="3">
        <f>COUNTIF(Roadmap!D2:D325,"P0")</f>
        <v/>
      </c>
    </row>
    <row r="8">
      <c r="A8" s="2" t="inlineStr">
        <is>
          <t>P0 still open</t>
        </is>
      </c>
      <c r="B8" s="3">
        <f>COUNTIFS(Roadmap!D2:D325,"P0",Roadmap!E2:E325,"Open")</f>
        <v/>
      </c>
    </row>
    <row r="9">
      <c r="A9" s="2" t="inlineStr">
        <is>
          <t>P1 total</t>
        </is>
      </c>
      <c r="B9" s="3">
        <f>COUNTIF(Roadmap!D2:D325,"P1")</f>
        <v/>
      </c>
    </row>
    <row r="10">
      <c r="A10" s="2" t="inlineStr">
        <is>
          <t>P1 still open</t>
        </is>
      </c>
      <c r="B10" s="3">
        <f>COUNTIFS(Roadmap!D2:D325,"P1",Roadmap!E2:E325,"Open")</f>
        <v/>
      </c>
    </row>
    <row r="11">
      <c r="A11" s="2" t="inlineStr">
        <is>
          <t>P2 total</t>
        </is>
      </c>
      <c r="B11" s="3">
        <f>COUNTIF(Roadmap!D2:D325,"P2")</f>
        <v/>
      </c>
    </row>
    <row r="12">
      <c r="A12" s="2" t="inlineStr">
        <is>
          <t>P2 still open</t>
        </is>
      </c>
      <c r="B12" s="3">
        <f>COUNTIFS(Roadmap!D2:D325,"P2",Roadmap!E2:E325,"Open")</f>
        <v/>
      </c>
    </row>
    <row r="13">
      <c r="A13" s="2" t="inlineStr">
        <is>
          <t>P3 total</t>
        </is>
      </c>
      <c r="B13" s="3">
        <f>COUNTIF(Roadmap!D2:D325,"P3")</f>
        <v/>
      </c>
    </row>
    <row r="14">
      <c r="A14" s="2" t="inlineStr">
        <is>
          <t>P3 still open</t>
        </is>
      </c>
      <c r="B14" s="3">
        <f>COUNTIFS(Roadmap!D2:D325,"P3",Roadmap!E2:E325,"Open")</f>
        <v/>
      </c>
    </row>
    <row r="15">
      <c r="A15" s="2" t="inlineStr">
        <is>
          <t>P4 total</t>
        </is>
      </c>
      <c r="B15" s="3">
        <f>COUNTIF(Roadmap!D2:D325,"P4")</f>
        <v/>
      </c>
    </row>
    <row r="16">
      <c r="A16" s="2" t="inlineStr">
        <is>
          <t>P4 still open</t>
        </is>
      </c>
      <c r="B16" s="3">
        <f>COUNTIFS(Roadmap!D2:D325,"P4",Roadmap!E2:E325,"Open")</f>
        <v/>
      </c>
    </row>
    <row r="17">
      <c r="A17" s="2" t="inlineStr"/>
      <c r="B17" s="3" t="inlineStr"/>
    </row>
    <row r="18">
      <c r="A18" s="2" t="inlineStr">
        <is>
          <t>By module — open</t>
        </is>
      </c>
      <c r="B18" s="3" t="inlineStr"/>
    </row>
    <row r="19">
      <c r="A19" s="2" t="inlineStr">
        <is>
          <t>Automations</t>
        </is>
      </c>
      <c r="B19" s="3">
        <f>COUNTIFS(Roadmap!C2:C325,"Automations",Roadmap!E2:E325,"Open")</f>
        <v/>
      </c>
    </row>
    <row r="20">
      <c r="A20" s="2" t="inlineStr">
        <is>
          <t>Calendar</t>
        </is>
      </c>
      <c r="B20" s="3">
        <f>COUNTIFS(Roadmap!C2:C325,"Calendar",Roadmap!E2:E325,"Open")</f>
        <v/>
      </c>
    </row>
    <row r="21">
      <c r="A21" s="2" t="inlineStr">
        <is>
          <t>Email attachments</t>
        </is>
      </c>
      <c r="B21" s="3">
        <f>COUNTIFS(Roadmap!C2:C325,"Email attachments",Roadmap!E2:E325,"Open")</f>
        <v/>
      </c>
    </row>
    <row r="22">
      <c r="A22" s="2" t="inlineStr">
        <is>
          <t>Engine · Grid</t>
        </is>
      </c>
      <c r="B22" s="3">
        <f>COUNTIFS(Roadmap!C2:C325,"Engine · Grid",Roadmap!E2:E325,"Open")</f>
        <v/>
      </c>
    </row>
    <row r="23">
      <c r="A23" s="2" t="inlineStr">
        <is>
          <t>Engine · Relations</t>
        </is>
      </c>
      <c r="B23" s="3">
        <f>COUNTIFS(Roadmap!C2:C325,"Engine · Relations",Roadmap!E2:E325,"Open")</f>
        <v/>
      </c>
    </row>
    <row r="24">
      <c r="A24" s="2" t="inlineStr">
        <is>
          <t>Finance · Invoice protest</t>
        </is>
      </c>
      <c r="B24" s="3">
        <f>COUNTIFS(Roadmap!C2:C325,"Finance · Invoice protest",Roadmap!E2:E325,"Open")</f>
        <v/>
      </c>
    </row>
    <row r="25">
      <c r="A25" s="2" t="inlineStr">
        <is>
          <t>Finance · Purchase invoices</t>
        </is>
      </c>
      <c r="B25" s="3">
        <f>COUNTIFS(Roadmap!C2:C325,"Finance · Purchase invoices",Roadmap!E2:E325,"Open")</f>
        <v/>
      </c>
    </row>
    <row r="26">
      <c r="A26" s="2" t="inlineStr">
        <is>
          <t>Finance · Purchase orders</t>
        </is>
      </c>
      <c r="B26" s="3">
        <f>COUNTIFS(Roadmap!C2:C325,"Finance · Purchase orders",Roadmap!E2:E325,"Open")</f>
        <v/>
      </c>
    </row>
    <row r="27">
      <c r="A27" s="2" t="inlineStr">
        <is>
          <t>HR · Timesheet reporting</t>
        </is>
      </c>
      <c r="B27" s="3">
        <f>COUNTIFS(Roadmap!C2:C325,"HR · Timesheet reporting",Roadmap!E2:E325,"Open")</f>
        <v/>
      </c>
    </row>
    <row r="28">
      <c r="A28" s="2" t="inlineStr">
        <is>
          <t>HR · Timesheets page</t>
        </is>
      </c>
      <c r="B28" s="3">
        <f>COUNTIFS(Roadmap!C2:C325,"HR · Timesheets page",Roadmap!E2:E325,"Open")</f>
        <v/>
      </c>
    </row>
    <row r="29">
      <c r="A29" s="2" t="inlineStr">
        <is>
          <t>Mobile</t>
        </is>
      </c>
      <c r="B29" s="3">
        <f>COUNTIFS(Roadmap!C2:C325,"Mobile",Roadmap!E2:E325,"Open")</f>
        <v/>
      </c>
    </row>
    <row r="30">
      <c r="A30" s="2" t="inlineStr">
        <is>
          <t>Mobile / PWA</t>
        </is>
      </c>
      <c r="B30" s="3">
        <f>COUNTIFS(Roadmap!C2:C325,"Mobile / PWA",Roadmap!E2:E325,"Open")</f>
        <v/>
      </c>
    </row>
    <row r="31">
      <c r="A31" s="2" t="inlineStr">
        <is>
          <t>Performance · Memory</t>
        </is>
      </c>
      <c r="B31" s="3">
        <f>COUNTIFS(Roadmap!C2:C325,"Performance · Memory",Roadmap!E2:E325,"Open")</f>
        <v/>
      </c>
    </row>
    <row r="32">
      <c r="A32" s="2" t="inlineStr">
        <is>
          <t>Pro Hardening</t>
        </is>
      </c>
      <c r="B32" s="3">
        <f>COUNTIFS(Roadmap!C2:C325,"Pro Hardening",Roadmap!E2:E325,"Open")</f>
        <v/>
      </c>
    </row>
    <row r="33">
      <c r="A33" s="2" t="inlineStr">
        <is>
          <t>Projects</t>
        </is>
      </c>
      <c r="B33" s="3">
        <f>COUNTIFS(Roadmap!C2:C325,"Projects",Roadmap!E2:E325,"Open")</f>
        <v/>
      </c>
    </row>
    <row r="34">
      <c r="A34" s="2" t="inlineStr">
        <is>
          <t>Reliability</t>
        </is>
      </c>
      <c r="B34" s="3">
        <f>COUNTIFS(Roadmap!C2:C325,"Reliability",Roadmap!E2:E325,"Open")</f>
        <v/>
      </c>
    </row>
    <row r="35">
      <c r="A35" s="2" t="inlineStr">
        <is>
          <t>Scan · Receipt bulk</t>
        </is>
      </c>
      <c r="B35" s="3">
        <f>COUNTIFS(Roadmap!C2:C325,"Scan · Receipt bulk",Roadmap!E2:E325,"Open")</f>
        <v/>
      </c>
    </row>
    <row r="36">
      <c r="A36" s="2" t="inlineStr">
        <is>
          <t>Triage / core</t>
        </is>
      </c>
      <c r="B36" s="3">
        <f>COUNTIFS(Roadmap!C2:C325,"Triage / core",Roadmap!E2:E325,"Open")</f>
        <v/>
      </c>
    </row>
  </sheetData>
  <autoFilter ref="A1:B3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2026-09-09T05:16:38Z</dcterms:created>
  <dcterms:modified xmlns:dcterms="http://purl.org/dc/terms/" xmlns:xsi="http://www.w3.org/2001/XMLSchema-instance" xsi:type="dcterms:W3CDTF">2026-09-12T19:19:52Z</dcterms:modified>
</cp:coreProperties>
</file>