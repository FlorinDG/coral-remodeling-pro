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sz val="10"/>
    </font>
  </fonts>
  <fills count="12">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4"/>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row>
    <row r="72">
      <c r="A72" s="2" t="inlineStr">
        <is>
          <t>MEM-2</t>
        </is>
      </c>
      <c r="B72" s="3" t="inlineStr"/>
      <c r="C72" s="2" t="inlineStr">
        <is>
          <t>Performance · Memory</t>
        </is>
      </c>
      <c r="D72" s="7" t="inlineStr">
        <is>
          <t>P1</t>
        </is>
      </c>
      <c r="E72" s="2" t="inlineStr">
        <is>
          <t>Open</t>
        </is>
      </c>
      <c r="F72" s="2" t="inlineStr">
        <is>
          <t>coral-memory-investigation.md:40</t>
        </is>
      </c>
      <c r="G72" s="2" t="inlineStr"/>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row>
    <row r="88">
      <c r="A88" s="2" t="inlineStr">
        <is>
          <t>ENGINE-CATEGORY-WRAPPERS</t>
        </is>
      </c>
      <c r="B88" s="3" t="inlineStr"/>
      <c r="C88" s="2" t="inlineStr">
        <is>
          <t>Triage / core</t>
        </is>
      </c>
      <c r="D88" s="7" t="inlineStr">
        <is>
          <t>P1</t>
        </is>
      </c>
      <c r="E88" s="2" t="inlineStr">
        <is>
          <t>Open</t>
        </is>
      </c>
      <c r="F88" s="2" t="inlineStr">
        <is>
          <t>ground-zero-triage.md:559</t>
        </is>
      </c>
      <c r="G88" s="2" t="inlineStr"/>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row>
    <row r="102">
      <c r="A102" s="2" t="inlineStr">
        <is>
          <t>PEPPOL-SEND-FIX</t>
        </is>
      </c>
      <c r="B102" s="3" t="inlineStr"/>
      <c r="C102" s="2" t="inlineStr">
        <is>
          <t>Triage / core</t>
        </is>
      </c>
      <c r="D102" s="7" t="inlineStr">
        <is>
          <t>P1</t>
        </is>
      </c>
      <c r="E102" s="5" t="inlineStr">
        <is>
          <t>Done</t>
        </is>
      </c>
      <c r="F102" s="2" t="inlineStr">
        <is>
          <t>ground-zero-triage.md:422</t>
        </is>
      </c>
      <c r="G102" s="2" t="inlineStr"/>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row>
    <row r="165">
      <c r="A165" s="2" t="inlineStr">
        <is>
          <t>DOC-TEMPLATE-POLISH</t>
        </is>
      </c>
      <c r="B165" s="3" t="inlineStr"/>
      <c r="C165" s="2" t="inlineStr">
        <is>
          <t>Triage / core</t>
        </is>
      </c>
      <c r="D165" s="8" t="inlineStr">
        <is>
          <t>P2</t>
        </is>
      </c>
      <c r="E165" s="2" t="inlineStr">
        <is>
          <t>Open</t>
        </is>
      </c>
      <c r="F165" s="2" t="inlineStr">
        <is>
          <t>ground-zero-triage.md:392</t>
        </is>
      </c>
      <c r="G165" s="2" t="inlineStr"/>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row>
    <row r="193">
      <c r="A193" s="2" t="inlineStr">
        <is>
          <t>WORKHUB-PERF-SPACE</t>
        </is>
      </c>
      <c r="B193" s="3" t="inlineStr"/>
      <c r="C193" s="2" t="inlineStr">
        <is>
          <t>Triage / core</t>
        </is>
      </c>
      <c r="D193" s="8" t="inlineStr">
        <is>
          <t>P2</t>
        </is>
      </c>
      <c r="E193" s="2" t="inlineStr">
        <is>
          <t>Open</t>
        </is>
      </c>
      <c r="F193" s="2" t="inlineStr">
        <is>
          <t>ground-zero-triage.md:456</t>
        </is>
      </c>
      <c r="G193" s="2" t="inlineStr"/>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Open</t>
        </is>
      </c>
      <c r="F225" s="11" t="inlineStr">
        <is>
          <t>coral-r1-tenancy.md</t>
        </is>
      </c>
      <c r="G225" s="11" t="inlineStr">
        <is>
          <t>[P3.2] Backfill source: getBaseDbId(id) — exact, already exists</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[P3.3] Was: denormalise tenantId column — WITHDRAWN</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[P3.4] Revised after Florin review 2026-09-12</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[P3.5] Revised after Florin review 2026-09-12</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[P3.1] NEW FINDING 2026-09-12</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COUNTA(Roadmap!A2:A334)</f>
        <v/>
      </c>
    </row>
    <row r="3">
      <c r="A3" s="2" t="inlineStr">
        <is>
          <t>Open</t>
        </is>
      </c>
      <c r="B3" s="3">
        <f>COUNTIF(Roadmap!E2:E334,"Open")</f>
        <v/>
      </c>
    </row>
    <row r="4">
      <c r="A4" s="2" t="inlineStr">
        <is>
          <t>In progress</t>
        </is>
      </c>
      <c r="B4" s="3">
        <f>COUNTIF(Roadmap!E2:E334,"In progress")</f>
        <v/>
      </c>
    </row>
    <row r="5">
      <c r="A5" s="2" t="inlineStr">
        <is>
          <t>Done</t>
        </is>
      </c>
      <c r="B5" s="3">
        <f>COUNTIF(Roadmap!E2:E334,"Done")</f>
        <v/>
      </c>
    </row>
    <row r="6">
      <c r="A6" s="2" t="inlineStr"/>
      <c r="B6" s="3" t="inlineStr"/>
    </row>
    <row r="7">
      <c r="A7" s="2" t="inlineStr">
        <is>
          <t>P0 total</t>
        </is>
      </c>
      <c r="B7" s="3">
        <f>COUNTIF(Roadmap!D2:D334,"P0")</f>
        <v/>
      </c>
    </row>
    <row r="8">
      <c r="A8" s="2" t="inlineStr">
        <is>
          <t>P0 still open</t>
        </is>
      </c>
      <c r="B8" s="3">
        <f>COUNTIFS(Roadmap!D2:D334,"P0",Roadmap!E2:E334,"Open")</f>
        <v/>
      </c>
    </row>
    <row r="9">
      <c r="A9" s="2" t="inlineStr">
        <is>
          <t>P1 total</t>
        </is>
      </c>
      <c r="B9" s="3">
        <f>COUNTIF(Roadmap!D2:D334,"P1")</f>
        <v/>
      </c>
    </row>
    <row r="10">
      <c r="A10" s="2" t="inlineStr">
        <is>
          <t>P1 still open</t>
        </is>
      </c>
      <c r="B10" s="3">
        <f>COUNTIFS(Roadmap!D2:D334,"P1",Roadmap!E2:E334,"Open")</f>
        <v/>
      </c>
    </row>
    <row r="11">
      <c r="A11" s="2" t="inlineStr">
        <is>
          <t>P2 total</t>
        </is>
      </c>
      <c r="B11" s="3">
        <f>COUNTIF(Roadmap!D2:D334,"P2")</f>
        <v/>
      </c>
    </row>
    <row r="12">
      <c r="A12" s="2" t="inlineStr">
        <is>
          <t>P2 still open</t>
        </is>
      </c>
      <c r="B12" s="3">
        <f>COUNTIFS(Roadmap!D2:D334,"P2",Roadmap!E2:E334,"Open")</f>
        <v/>
      </c>
    </row>
    <row r="13">
      <c r="A13" s="2" t="inlineStr">
        <is>
          <t>P3 total</t>
        </is>
      </c>
      <c r="B13" s="3">
        <f>COUNTIF(Roadmap!D2:D334,"P3")</f>
        <v/>
      </c>
    </row>
    <row r="14">
      <c r="A14" s="2" t="inlineStr">
        <is>
          <t>P3 still open</t>
        </is>
      </c>
      <c r="B14" s="3">
        <f>COUNTIFS(Roadmap!D2:D334,"P3",Roadmap!E2:E334,"Open")</f>
        <v/>
      </c>
    </row>
    <row r="15">
      <c r="A15" s="2" t="inlineStr">
        <is>
          <t>P4 total</t>
        </is>
      </c>
      <c r="B15" s="3">
        <f>COUNTIF(Roadmap!D2:D334,"P4")</f>
        <v/>
      </c>
    </row>
    <row r="16">
      <c r="A16" s="2" t="inlineStr">
        <is>
          <t>P4 still open</t>
        </is>
      </c>
      <c r="B16" s="3">
        <f>COUNTIFS(Roadmap!D2:D334,"P4",Roadmap!E2:E334,"Open")</f>
        <v/>
      </c>
    </row>
    <row r="17">
      <c r="A17" s="2" t="inlineStr"/>
      <c r="B17" s="3" t="inlineStr"/>
    </row>
    <row r="18">
      <c r="A18" s="2" t="inlineStr">
        <is>
          <t>By module — open</t>
        </is>
      </c>
      <c r="B18" s="3" t="inlineStr"/>
    </row>
    <row r="19">
      <c r="A19" s="2" t="inlineStr">
        <is>
          <t>Automations</t>
        </is>
      </c>
      <c r="B19" s="3">
        <f>COUNTIFS(Roadmap!C2:C334,"Automations",Roadmap!E2:E334,"Open")</f>
        <v/>
      </c>
    </row>
    <row r="20">
      <c r="A20" s="2" t="inlineStr">
        <is>
          <t>Calendar</t>
        </is>
      </c>
      <c r="B20" s="3">
        <f>COUNTIFS(Roadmap!C2:C334,"Calendar",Roadmap!E2:E334,"Open")</f>
        <v/>
      </c>
    </row>
    <row r="21">
      <c r="A21" s="2" t="inlineStr">
        <is>
          <t>Email attachments</t>
        </is>
      </c>
      <c r="B21" s="3">
        <f>COUNTIFS(Roadmap!C2:C334,"Email attachments",Roadmap!E2:E334,"Open")</f>
        <v/>
      </c>
    </row>
    <row r="22">
      <c r="A22" s="2" t="inlineStr">
        <is>
          <t>Engine · Grid</t>
        </is>
      </c>
      <c r="B22" s="3">
        <f>COUNTIFS(Roadmap!C2:C334,"Engine · Grid",Roadmap!E2:E334,"Open")</f>
        <v/>
      </c>
    </row>
    <row r="23">
      <c r="A23" s="2" t="inlineStr">
        <is>
          <t>Engine · Relations</t>
        </is>
      </c>
      <c r="B23" s="3">
        <f>COUNTIFS(Roadmap!C2:C334,"Engine · Relations",Roadmap!E2:E334,"Open")</f>
        <v/>
      </c>
    </row>
    <row r="24">
      <c r="A24" s="2" t="inlineStr">
        <is>
          <t>Finance · Invoice protest</t>
        </is>
      </c>
      <c r="B24" s="3">
        <f>COUNTIFS(Roadmap!C2:C334,"Finance · Invoice protest",Roadmap!E2:E334,"Open")</f>
        <v/>
      </c>
    </row>
    <row r="25">
      <c r="A25" s="2" t="inlineStr">
        <is>
          <t>Finance · Purchase invoices</t>
        </is>
      </c>
      <c r="B25" s="3">
        <f>COUNTIFS(Roadmap!C2:C334,"Finance · Purchase invoices",Roadmap!E2:E334,"Open")</f>
        <v/>
      </c>
    </row>
    <row r="26">
      <c r="A26" s="2" t="inlineStr">
        <is>
          <t>Finance · Purchase orders</t>
        </is>
      </c>
      <c r="B26" s="3">
        <f>COUNTIFS(Roadmap!C2:C334,"Finance · Purchase orders",Roadmap!E2:E334,"Open")</f>
        <v/>
      </c>
    </row>
    <row r="27">
      <c r="A27" s="2" t="inlineStr">
        <is>
          <t>HR · Timesheet reporting</t>
        </is>
      </c>
      <c r="B27" s="3">
        <f>COUNTIFS(Roadmap!C2:C334,"HR · Timesheet reporting",Roadmap!E2:E334,"Open")</f>
        <v/>
      </c>
    </row>
    <row r="28">
      <c r="A28" s="2" t="inlineStr">
        <is>
          <t>HR · Timesheets page</t>
        </is>
      </c>
      <c r="B28" s="3">
        <f>COUNTIFS(Roadmap!C2:C334,"HR · Timesheets page",Roadmap!E2:E334,"Open")</f>
        <v/>
      </c>
    </row>
    <row r="29">
      <c r="A29" s="2" t="inlineStr">
        <is>
          <t>Mobile</t>
        </is>
      </c>
      <c r="B29" s="3">
        <f>COUNTIFS(Roadmap!C2:C334,"Mobile",Roadmap!E2:E334,"Open")</f>
        <v/>
      </c>
    </row>
    <row r="30">
      <c r="A30" s="2" t="inlineStr">
        <is>
          <t>Mobile / PWA</t>
        </is>
      </c>
      <c r="B30" s="3">
        <f>COUNTIFS(Roadmap!C2:C334,"Mobile / PWA",Roadmap!E2:E334,"Open")</f>
        <v/>
      </c>
    </row>
    <row r="31">
      <c r="A31" s="2" t="inlineStr">
        <is>
          <t>Performance · Memory</t>
        </is>
      </c>
      <c r="B31" s="3">
        <f>COUNTIFS(Roadmap!C2:C334,"Performance · Memory",Roadmap!E2:E334,"Open")</f>
        <v/>
      </c>
    </row>
    <row r="32">
      <c r="A32" s="2" t="inlineStr">
        <is>
          <t>Pro Hardening</t>
        </is>
      </c>
      <c r="B32" s="3">
        <f>COUNTIFS(Roadmap!C2:C334,"Pro Hardening",Roadmap!E2:E334,"Open")</f>
        <v/>
      </c>
    </row>
    <row r="33">
      <c r="A33" s="2" t="inlineStr">
        <is>
          <t>Projects</t>
        </is>
      </c>
      <c r="B33" s="3">
        <f>COUNTIFS(Roadmap!C2:C334,"Projects",Roadmap!E2:E334,"Open")</f>
        <v/>
      </c>
    </row>
    <row r="34">
      <c r="A34" s="2" t="inlineStr">
        <is>
          <t>Reliability</t>
        </is>
      </c>
      <c r="B34" s="3">
        <f>COUNTIFS(Roadmap!C2:C334,"Reliability",Roadmap!E2:E334,"Open")</f>
        <v/>
      </c>
    </row>
    <row r="35">
      <c r="A35" s="2" t="inlineStr">
        <is>
          <t>Scan · Receipt bulk</t>
        </is>
      </c>
      <c r="B35" s="3">
        <f>COUNTIFS(Roadmap!C2:C334,"Scan · Receipt bulk",Roadmap!E2:E334,"Open")</f>
        <v/>
      </c>
    </row>
    <row r="36">
      <c r="A36" s="2" t="inlineStr">
        <is>
          <t>Triage / core</t>
        </is>
      </c>
      <c r="B36" s="3">
        <f>COUNTIFS(Roadmap!C2:C334,"Triage / core",Roadmap!E2:E334,"Open")</f>
        <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2026-09-12T20:56:48Z</dcterms:modified>
</cp:coreProperties>
</file>