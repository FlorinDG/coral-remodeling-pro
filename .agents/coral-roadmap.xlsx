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Florin - my actions" sheetId="2" state="visible" r:id="rId2"/>
    <sheet xmlns:r="http://schemas.openxmlformats.org/officeDocument/2006/relationships"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00"/>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Open</t>
        </is>
      </c>
      <c r="F225" s="11" t="inlineStr">
        <is>
          <t>coral-r1-tenancy.md</t>
        </is>
      </c>
      <c r="G225" s="11" t="inlineStr">
        <is>
          <t>[P3.2] Backfill source: getBaseDbId(id) — exact, already exists</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Open</t>
        </is>
      </c>
      <c r="F226" s="11" t="inlineStr">
        <is>
          <t>coral-r1-tenancy.md</t>
        </is>
      </c>
      <c r="G226" s="11" t="inlineStr">
        <is>
          <t>[P3.3] Was: denormalise tenantId column — WITHDRAWN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Open</t>
        </is>
      </c>
      <c r="F227" s="11" t="inlineStr">
        <is>
          <t>coral-r1-tenancy.md</t>
        </is>
      </c>
      <c r="G227" s="11" t="inlineStr">
        <is>
          <t>[P3.4] Revised after Florin review 2026-09-12</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Open</t>
        </is>
      </c>
      <c r="F228" s="11" t="inlineStr">
        <is>
          <t>coral-r1-tenancy.md</t>
        </is>
      </c>
      <c r="G228" s="11" t="inlineStr">
        <is>
          <t>[P3.5] Revised after Florin review 2026-09-12</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[P4.1] Written first</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[P3.1] NEW FINDING 2026-09-12</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L1 Core</t>
        </is>
      </c>
      <c r="I455" t="inlineStr">
        <is>
          <t>Tenant gate</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L1 Core</t>
        </is>
      </c>
      <c r="I456" t="inlineStr">
        <is>
          <t>Tenant gate</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L1 Core</t>
        </is>
      </c>
      <c r="I457" t="inlineStr">
        <is>
          <t>Tenant gate</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 Kernel</t>
        </is>
      </c>
      <c r="I458" t="inlineStr">
        <is>
          <t>Storage</t>
        </is>
      </c>
    </row>
    <row r="459">
      <c r="A459" t="inlineStr">
        <is>
          <t>PROJ-0</t>
        </is>
      </c>
      <c r="B459" t="inlineStr">
        <is>
          <t>DECIDED (Florin 2026-09-24): ONE projects database. All workforce-side links point at the project page.</t>
        </is>
      </c>
      <c r="C459" t="inlineStr">
        <is>
          <t>Projects</t>
        </is>
      </c>
      <c r="D459" t="inlineStr">
        <is>
          <t>P0</t>
        </is>
      </c>
      <c r="E459" t="inlineStr">
        <is>
          <t>Decided — execution open</t>
        </is>
      </c>
      <c r="F459" t="inlineStr">
        <is>
          <t>coral-decision-one-project.md</t>
        </is>
      </c>
      <c r="G459" t="inlineStr">
        <is>
          <t>Florin's decision, not the coder's. Blocks PROJ-1..7: every cockpit aggregate joins on an undeclared projectId. Options A/B/C in the spec.</t>
        </is>
      </c>
      <c r="H459" t="inlineStr">
        <is>
          <t>L2 Module</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L1 Core</t>
        </is>
      </c>
      <c r="I460" t="inlineStr">
        <is>
          <t>Tenant gate</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 Module</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 Core</t>
        </is>
      </c>
      <c r="I462" t="inlineStr">
        <is>
          <t>Resolution</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 Module</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 Module</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 Module</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 Module</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L1 Core</t>
        </is>
      </c>
      <c r="I467" t="inlineStr">
        <is>
          <t>Tenant gate</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L1 Core</t>
        </is>
      </c>
      <c r="I468" t="inlineStr">
        <is>
          <t>Tenant gate</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L1 Core</t>
        </is>
      </c>
      <c r="I469" t="inlineStr">
        <is>
          <t>Tenant gate</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 Core</t>
        </is>
      </c>
      <c r="I470" t="inlineStr">
        <is>
          <t>Refusals</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L1 Core</t>
        </is>
      </c>
      <c r="I471" t="inlineStr">
        <is>
          <t>Tenant gate</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L1 Core</t>
        </is>
      </c>
      <c r="I472" t="inlineStr">
        <is>
          <t>Tenant gate</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 Module</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L1 Core</t>
        </is>
      </c>
      <c r="I474" t="inlineStr">
        <is>
          <t>Tenant gate</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 Module</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 Module</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 Kernel</t>
        </is>
      </c>
      <c r="I477" t="inlineStr">
        <is>
          <t>Identity</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 Kernel</t>
        </is>
      </c>
      <c r="I478" t="inlineStr">
        <is>
          <t>Identity</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 Kernel</t>
        </is>
      </c>
      <c r="I479" t="inlineStr">
        <is>
          <t>Identity</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 Kernel</t>
        </is>
      </c>
      <c r="I480" t="inlineStr">
        <is>
          <t>Identity</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L1 Core</t>
        </is>
      </c>
      <c r="I481" t="inlineStr">
        <is>
          <t>Tenant gate</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 Kernel</t>
        </is>
      </c>
      <c r="I482" t="inlineStr">
        <is>
          <t>Identity</t>
        </is>
      </c>
    </row>
    <row r="483">
      <c r="A483" t="inlineStr">
        <is>
          <t>KERN-5e</t>
        </is>
      </c>
      <c r="B483" t="inlineStr">
        <is>
          <t>Binding 'hr' -&gt; db-hr resolves to NOTHING for BV CORAL (resolves=0)</t>
        </is>
      </c>
      <c r="C483" t="inlineStr">
        <is>
          <t>Kernel</t>
        </is>
      </c>
      <c r="D483" t="inlineStr">
        <is>
          <t>P1</t>
        </is>
      </c>
      <c r="E483" t="inlineStr">
        <is>
          <t>Open</t>
        </is>
      </c>
      <c r="F483" t="inlineStr">
        <is>
          <t>coral-walkdown-project-identity.md</t>
        </is>
      </c>
      <c r="G483" t="inlineStr">
        <is>
          <t>A bound role pointing at a non-existent database. scope.systemDatabase('hr') must throw; today code queries a ghost id and gets silence.</t>
        </is>
      </c>
      <c r="H483" t="inlineStr">
        <is>
          <t>L0 Kernel</t>
        </is>
      </c>
      <c r="I483" t="inlineStr">
        <is>
          <t>Identity</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 Kernel</t>
        </is>
      </c>
      <c r="I484" t="inlineStr">
        <is>
          <t>Identity</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 Kernel</t>
        </is>
      </c>
      <c r="I486" t="inlineStr">
        <is>
          <t>Identity</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 Kernel</t>
        </is>
      </c>
      <c r="I487" t="inlineStr">
        <is>
          <t>Identity</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 Kernel</t>
        </is>
      </c>
      <c r="I488" t="inlineStr">
        <is>
          <t>Identity</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 Kernel</t>
        </is>
      </c>
      <c r="I489" t="inlineStr">
        <is>
          <t>Identity</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 Core</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 Kernel</t>
        </is>
      </c>
      <c r="I491" t="inlineStr">
        <is>
          <t>Identity</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 Kernel</t>
        </is>
      </c>
      <c r="I492" t="inlineStr">
        <is>
          <t>Identity</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 Kernel</t>
        </is>
      </c>
      <c r="I493" t="inlineStr">
        <is>
          <t>Identity</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 Kernel</t>
        </is>
      </c>
      <c r="I494" t="inlineStr">
        <is>
          <t>Identity</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 Kernel</t>
        </is>
      </c>
      <c r="I495" t="inlineStr">
        <is>
          <t>Identity</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t>
        </is>
      </c>
      <c r="H496" t="inlineStr">
        <is>
          <t>L1 Core</t>
        </is>
      </c>
      <c r="I496" t="inlineStr">
        <is>
          <t>Entitlement</t>
        </is>
      </c>
    </row>
    <row r="497">
      <c r="A497" t="inlineStr">
        <is>
          <t>KERN-7</t>
        </is>
      </c>
      <c r="B497" t="inlineStr">
        <is>
          <t>PASS 3b: ESLint parse ratchet — 28 files grandfathered, length is the metric</t>
        </is>
      </c>
      <c r="C497" t="inlineStr">
        <is>
          <t>Kernel</t>
        </is>
      </c>
      <c r="D497" t="inlineStr">
        <is>
          <t>P0</t>
        </is>
      </c>
      <c r="E497" t="inlineStr">
        <is>
          <t>Open</t>
        </is>
      </c>
      <c r="F497" t="inlineStr">
        <is>
          <t>coral-id-parsing-decomposition.md</t>
        </is>
      </c>
      <c r="G497" t="inlineStr">
        <is>
          <t>74 parse sites across 28 files. Same mechanism as PRE-1d's prisma allowlist (121).</t>
        </is>
      </c>
      <c r="H497" t="inlineStr">
        <is>
          <t>L0 Kernel</t>
        </is>
      </c>
      <c r="I497" t="inlineStr">
        <is>
          <t>Identity</t>
        </is>
      </c>
    </row>
    <row r="498">
      <c r="A498" t="inlineStr">
        <is>
          <t>KERN-8</t>
        </is>
      </c>
      <c r="B498" t="inlineStr">
        <is>
          <t>PASS 3c: delete getLockedDbId + lockedDbUtils + resolve.ts prefix searches</t>
        </is>
      </c>
      <c r="C498" t="inlineStr">
        <is>
          <t>Kernel</t>
        </is>
      </c>
      <c r="D498" t="inlineStr">
        <is>
          <t>P1</t>
        </is>
      </c>
      <c r="E498" t="inlineStr">
        <is>
          <t>Open</t>
        </is>
      </c>
      <c r="F498" t="inlineStr">
        <is>
          <t>coral-id-parsing-decomposition.md</t>
        </is>
      </c>
      <c r="G498" t="inlineStr">
        <is>
          <t>Only when 3b's allowlist reaches zero. Gated on the R1-1b relation-target measurement.</t>
        </is>
      </c>
      <c r="H498" t="inlineStr">
        <is>
          <t>L0 Kernel</t>
        </is>
      </c>
      <c r="I498" t="inlineStr">
        <is>
          <t>Identity</t>
        </is>
      </c>
    </row>
    <row r="499">
      <c r="A499" t="inlineStr">
        <is>
          <t>R1-1b-M</t>
        </is>
      </c>
      <c r="B499" t="inlineStr">
        <is>
          <t>MEASURE: relation properties whose targetDatabaseId is a legacy base id</t>
        </is>
      </c>
      <c r="C499" t="inlineStr">
        <is>
          <t>Tenancy (R1)</t>
        </is>
      </c>
      <c r="D499" t="inlineStr">
        <is>
          <t>P0</t>
        </is>
      </c>
      <c r="E499" t="inlineStr">
        <is>
          <t>Open</t>
        </is>
      </c>
      <c r="F499" t="inlineStr">
        <is>
          <t>coral-id-parsing-decomposition.md</t>
        </is>
      </c>
      <c r="G499" t="inlineStr">
        <is>
          <t>Florin, production, read-only. resolve.ts:94 proves stored relation targets may hold base ids. Decides whether logicalKey is a backfill or a no-op. Gates pass 3c.</t>
        </is>
      </c>
      <c r="H499" t="inlineStr">
        <is>
          <t>L1 Core</t>
        </is>
      </c>
      <c r="I499" t="inlineStr">
        <is>
          <t>Relations</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COUNTA(Roadmap!A2:A334)</f>
        <v/>
      </c>
    </row>
    <row r="3">
      <c r="A3" s="2" t="inlineStr">
        <is>
          <t>Open</t>
        </is>
      </c>
      <c r="B3" s="3">
        <f>COUNTIF(Roadmap!E2:E334,"Open")</f>
        <v/>
      </c>
    </row>
    <row r="4">
      <c r="A4" s="2" t="inlineStr">
        <is>
          <t>In progress</t>
        </is>
      </c>
      <c r="B4" s="3">
        <f>COUNTIF(Roadmap!E2:E334,"In progress")</f>
        <v/>
      </c>
    </row>
    <row r="5">
      <c r="A5" s="2" t="inlineStr">
        <is>
          <t>Done</t>
        </is>
      </c>
      <c r="B5" s="3">
        <f>COUNTIF(Roadmap!E2:E334,"Done")</f>
        <v/>
      </c>
    </row>
    <row r="6">
      <c r="A6" s="2" t="inlineStr"/>
      <c r="B6" s="3" t="inlineStr"/>
    </row>
    <row r="7">
      <c r="A7" s="2" t="inlineStr">
        <is>
          <t>P0 total</t>
        </is>
      </c>
      <c r="B7" s="3">
        <f>COUNTIF(Roadmap!D2:D334,"P0")</f>
        <v/>
      </c>
    </row>
    <row r="8">
      <c r="A8" s="2" t="inlineStr">
        <is>
          <t>P0 still open</t>
        </is>
      </c>
      <c r="B8" s="3">
        <f>COUNTIFS(Roadmap!D2:D334,"P0",Roadmap!E2:E334,"Open")</f>
        <v/>
      </c>
    </row>
    <row r="9">
      <c r="A9" s="2" t="inlineStr">
        <is>
          <t>P1 total</t>
        </is>
      </c>
      <c r="B9" s="3">
        <f>COUNTIF(Roadmap!D2:D334,"P1")</f>
        <v/>
      </c>
    </row>
    <row r="10">
      <c r="A10" s="2" t="inlineStr">
        <is>
          <t>P1 still open</t>
        </is>
      </c>
      <c r="B10" s="3">
        <f>COUNTIFS(Roadmap!D2:D334,"P1",Roadmap!E2:E334,"Open")</f>
        <v/>
      </c>
    </row>
    <row r="11">
      <c r="A11" s="2" t="inlineStr">
        <is>
          <t>P2 total</t>
        </is>
      </c>
      <c r="B11" s="3">
        <f>COUNTIF(Roadmap!D2:D334,"P2")</f>
        <v/>
      </c>
    </row>
    <row r="12">
      <c r="A12" s="2" t="inlineStr">
        <is>
          <t>P2 still open</t>
        </is>
      </c>
      <c r="B12" s="3">
        <f>COUNTIFS(Roadmap!D2:D334,"P2",Roadmap!E2:E334,"Open")</f>
        <v/>
      </c>
    </row>
    <row r="13">
      <c r="A13" s="2" t="inlineStr">
        <is>
          <t>P3 total</t>
        </is>
      </c>
      <c r="B13" s="3">
        <f>COUNTIF(Roadmap!D2:D334,"P3")</f>
        <v/>
      </c>
    </row>
    <row r="14">
      <c r="A14" s="2" t="inlineStr">
        <is>
          <t>P3 still open</t>
        </is>
      </c>
      <c r="B14" s="3">
        <f>COUNTIFS(Roadmap!D2:D334,"P3",Roadmap!E2:E334,"Open")</f>
        <v/>
      </c>
    </row>
    <row r="15">
      <c r="A15" s="2" t="inlineStr">
        <is>
          <t>P4 total</t>
        </is>
      </c>
      <c r="B15" s="3">
        <f>COUNTIF(Roadmap!D2:D334,"P4")</f>
        <v/>
      </c>
    </row>
    <row r="16">
      <c r="A16" s="2" t="inlineStr">
        <is>
          <t>P4 still open</t>
        </is>
      </c>
      <c r="B16" s="3">
        <f>COUNTIFS(Roadmap!D2:D334,"P4",Roadmap!E2:E334,"Open")</f>
        <v/>
      </c>
    </row>
    <row r="17">
      <c r="A17" s="2" t="inlineStr"/>
      <c r="B17" s="3" t="inlineStr"/>
    </row>
    <row r="18">
      <c r="A18" s="2" t="inlineStr">
        <is>
          <t>By module — open</t>
        </is>
      </c>
      <c r="B18" s="3" t="inlineStr"/>
    </row>
    <row r="19">
      <c r="A19" s="2" t="inlineStr">
        <is>
          <t>Automations</t>
        </is>
      </c>
      <c r="B19" s="3">
        <f>COUNTIFS(Roadmap!C2:C334,"Automations",Roadmap!E2:E334,"Open")</f>
        <v/>
      </c>
    </row>
    <row r="20">
      <c r="A20" s="2" t="inlineStr">
        <is>
          <t>Calendar</t>
        </is>
      </c>
      <c r="B20" s="3">
        <f>COUNTIFS(Roadmap!C2:C334,"Calendar",Roadmap!E2:E334,"Open")</f>
        <v/>
      </c>
    </row>
    <row r="21">
      <c r="A21" s="2" t="inlineStr">
        <is>
          <t>Email attachments</t>
        </is>
      </c>
      <c r="B21" s="3">
        <f>COUNTIFS(Roadmap!C2:C334,"Email attachments",Roadmap!E2:E334,"Open")</f>
        <v/>
      </c>
    </row>
    <row r="22">
      <c r="A22" s="2" t="inlineStr">
        <is>
          <t>Engine · Grid</t>
        </is>
      </c>
      <c r="B22" s="3">
        <f>COUNTIFS(Roadmap!C2:C334,"Engine · Grid",Roadmap!E2:E334,"Open")</f>
        <v/>
      </c>
    </row>
    <row r="23">
      <c r="A23" s="2" t="inlineStr">
        <is>
          <t>Engine · Relations</t>
        </is>
      </c>
      <c r="B23" s="3">
        <f>COUNTIFS(Roadmap!C2:C334,"Engine · Relations",Roadmap!E2:E334,"Open")</f>
        <v/>
      </c>
    </row>
    <row r="24">
      <c r="A24" s="2" t="inlineStr">
        <is>
          <t>Finance · Invoice protest</t>
        </is>
      </c>
      <c r="B24" s="3">
        <f>COUNTIFS(Roadmap!C2:C334,"Finance · Invoice protest",Roadmap!E2:E334,"Open")</f>
        <v/>
      </c>
    </row>
    <row r="25">
      <c r="A25" s="2" t="inlineStr">
        <is>
          <t>Finance · Purchase invoices</t>
        </is>
      </c>
      <c r="B25" s="3">
        <f>COUNTIFS(Roadmap!C2:C334,"Finance · Purchase invoices",Roadmap!E2:E334,"Open")</f>
        <v/>
      </c>
    </row>
    <row r="26">
      <c r="A26" s="2" t="inlineStr">
        <is>
          <t>Finance · Purchase orders</t>
        </is>
      </c>
      <c r="B26" s="3">
        <f>COUNTIFS(Roadmap!C2:C334,"Finance · Purchase orders",Roadmap!E2:E334,"Open")</f>
        <v/>
      </c>
    </row>
    <row r="27">
      <c r="A27" s="2" t="inlineStr">
        <is>
          <t>HR · Timesheet reporting</t>
        </is>
      </c>
      <c r="B27" s="3">
        <f>COUNTIFS(Roadmap!C2:C334,"HR · Timesheet reporting",Roadmap!E2:E334,"Open")</f>
        <v/>
      </c>
    </row>
    <row r="28">
      <c r="A28" s="2" t="inlineStr">
        <is>
          <t>HR · Timesheets page</t>
        </is>
      </c>
      <c r="B28" s="3">
        <f>COUNTIFS(Roadmap!C2:C334,"HR · Timesheets page",Roadmap!E2:E334,"Open")</f>
        <v/>
      </c>
    </row>
    <row r="29">
      <c r="A29" s="2" t="inlineStr">
        <is>
          <t>Mobile</t>
        </is>
      </c>
      <c r="B29" s="3">
        <f>COUNTIFS(Roadmap!C2:C334,"Mobile",Roadmap!E2:E334,"Open")</f>
        <v/>
      </c>
    </row>
    <row r="30">
      <c r="A30" s="2" t="inlineStr">
        <is>
          <t>Mobile / PWA</t>
        </is>
      </c>
      <c r="B30" s="3">
        <f>COUNTIFS(Roadmap!C2:C334,"Mobile / PWA",Roadmap!E2:E334,"Open")</f>
        <v/>
      </c>
    </row>
    <row r="31">
      <c r="A31" s="2" t="inlineStr">
        <is>
          <t>Performance · Memory</t>
        </is>
      </c>
      <c r="B31" s="3">
        <f>COUNTIFS(Roadmap!C2:C334,"Performance · Memory",Roadmap!E2:E334,"Open")</f>
        <v/>
      </c>
    </row>
    <row r="32">
      <c r="A32" s="2" t="inlineStr">
        <is>
          <t>Pro Hardening</t>
        </is>
      </c>
      <c r="B32" s="3">
        <f>COUNTIFS(Roadmap!C2:C334,"Pro Hardening",Roadmap!E2:E334,"Open")</f>
        <v/>
      </c>
    </row>
    <row r="33">
      <c r="A33" s="2" t="inlineStr">
        <is>
          <t>Projects</t>
        </is>
      </c>
      <c r="B33" s="3">
        <f>COUNTIFS(Roadmap!C2:C334,"Projects",Roadmap!E2:E334,"Open")</f>
        <v/>
      </c>
    </row>
    <row r="34">
      <c r="A34" s="2" t="inlineStr">
        <is>
          <t>Reliability</t>
        </is>
      </c>
      <c r="B34" s="3">
        <f>COUNTIFS(Roadmap!C2:C334,"Reliability",Roadmap!E2:E334,"Open")</f>
        <v/>
      </c>
    </row>
    <row r="35">
      <c r="A35" s="2" t="inlineStr">
        <is>
          <t>Scan · Receipt bulk</t>
        </is>
      </c>
      <c r="B35" s="3">
        <f>COUNTIFS(Roadmap!C2:C334,"Scan · Receipt bulk",Roadmap!E2:E334,"Open")</f>
        <v/>
      </c>
    </row>
    <row r="36">
      <c r="A36" s="2" t="inlineStr">
        <is>
          <t>Triage / core</t>
        </is>
      </c>
      <c r="B36" s="3">
        <f>COUNTIFS(Roadmap!C2:C334,"Triage / core",Roadmap!E2:E334,"Open")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2026-09-09T05:16:38Z</dcterms:created>
  <dcterms:modified xmlns:dcterms="http://purl.org/dc/terms/" xmlns:xsi="http://www.w3.org/2001/XMLSchema-instance" xsi:type="dcterms:W3CDTF">2026-09-25T05:17:57Z</dcterms:modified>
</cp:coreProperties>
</file>