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map" sheetId="1" state="visible" r:id="rId1"/>
    <sheet xmlns:r="http://schemas.openxmlformats.org/officeDocument/2006/relationships" name="Florin - my actions" sheetId="2" state="visible" r:id="rId2"/>
    <sheet xmlns:r="http://schemas.openxmlformats.org/officeDocument/2006/relationships" name="Summary" sheetId="3" state="visible" r:id="rId3"/>
  </sheets>
  <definedNames>
    <definedName name="_xlnm._FilterDatabase" localSheetId="0" hidden="1">'Roadmap'!$A$1:$G$334</definedName>
    <definedName name="_xlnm._FilterDatabase" localSheetId="1" hidden="1">'Florin - my actions'!$A$1:$D$8</definedName>
    <definedName name="_xlnm._FilterDatabase" localSheetId="2" hidden="1">'Summary'!$A$1:$B$36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b val="1"/>
      <color rgb="00FFFFFF"/>
    </font>
    <font>
      <b val="1"/>
      <sz val="10"/>
    </font>
    <font>
      <b val="1"/>
    </font>
  </fonts>
  <fills count="19">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E0B2"/>
      </patternFill>
    </fill>
    <fill>
      <patternFill patternType="solid">
        <fgColor rgb="00FFF2CC"/>
      </patternFill>
    </fill>
    <fill>
      <patternFill patternType="solid">
        <fgColor rgb="00E2EFDA"/>
      </patternFill>
    </fill>
    <fill>
      <patternFill patternType="solid">
        <fgColor rgb="00DEEAF6"/>
      </patternFill>
    </fill>
    <fill>
      <patternFill patternType="solid">
        <fgColor rgb="00E7E6E6"/>
      </patternFill>
    </fill>
    <fill>
      <patternFill patternType="solid">
        <fgColor rgb="00DDEBF7"/>
      </patternFill>
    </fill>
    <fill>
      <patternFill patternType="solid">
        <fgColor rgb="00F1EBFD"/>
      </patternFill>
    </fill>
    <fill>
      <patternFill patternType="solid">
        <fgColor rgb="00E8F0FA"/>
      </patternFill>
    </fill>
    <fill>
      <patternFill patternType="solid">
        <fgColor rgb="00FDF3E3"/>
      </patternFill>
    </fill>
    <fill>
      <patternFill patternType="solid">
        <fgColor rgb="00F0EEEC"/>
      </patternFill>
    </fill>
    <fill>
      <patternFill patternType="solid">
        <fgColor rgb="00F7F5F2"/>
      </patternFill>
    </fill>
    <fill>
      <patternFill patternType="solid">
        <fgColor rgb="00E8F5EE"/>
      </patternFill>
    </fill>
    <fill>
      <patternFill patternType="solid">
        <fgColor rgb="00FFF1E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8" borderId="1" applyAlignment="1" pivotButton="0" quotePrefix="0" xfId="0">
      <alignment horizontal="center" vertical="top"/>
    </xf>
    <xf numFmtId="0" fontId="2" fillId="9" borderId="1" applyAlignment="1" pivotButton="0" quotePrefix="0" xfId="0">
      <alignment horizontal="center" vertical="top"/>
    </xf>
    <xf numFmtId="0" fontId="2" fillId="0" borderId="1" pivotButton="0" quotePrefix="0" xfId="0"/>
    <xf numFmtId="0" fontId="2" fillId="3" borderId="1" pivotButton="0" quotePrefix="0" xfId="0"/>
    <xf numFmtId="0" fontId="2" fillId="6" borderId="1" pivotButton="0" quotePrefix="0" xfId="0"/>
    <xf numFmtId="0" fontId="2" fillId="7" borderId="1" pivotButton="0" quotePrefix="0" xfId="0"/>
    <xf numFmtId="0" fontId="2" fillId="10" borderId="1" pivotButton="0" quotePrefix="0" xfId="0"/>
    <xf numFmtId="0" fontId="2" fillId="4" borderId="1" pivotButton="0" quotePrefix="0" xfId="0"/>
    <xf numFmtId="0" fontId="2" fillId="8" borderId="1" pivotButton="0" quotePrefix="0" xfId="0"/>
    <xf numFmtId="0" fontId="2" fillId="10" borderId="1" applyAlignment="1" pivotButton="0" quotePrefix="0" xfId="0">
      <alignment vertical="top"/>
    </xf>
    <xf numFmtId="0" fontId="2" fillId="11" borderId="1" applyAlignment="1" pivotButton="0" quotePrefix="0" xfId="0">
      <alignment vertical="top"/>
    </xf>
    <xf numFmtId="0" fontId="2" fillId="5" borderId="1" pivotButton="0" quotePrefix="0" xfId="0"/>
    <xf numFmtId="0" fontId="3" fillId="2" borderId="0" applyAlignment="1" pivotButton="0" quotePrefix="0" xfId="0">
      <alignment horizontal="left" vertical="center"/>
    </xf>
    <xf numFmtId="0" fontId="4" fillId="12" borderId="0" pivotButton="0" quotePrefix="0" xfId="0"/>
    <xf numFmtId="0" fontId="4" fillId="13" borderId="0" pivotButton="0" quotePrefix="0" xfId="0"/>
    <xf numFmtId="0" fontId="4" fillId="14" borderId="0" pivotButton="0" quotePrefix="0" xfId="0"/>
    <xf numFmtId="0" fontId="4" fillId="15" borderId="0" pivotButton="0" quotePrefix="0" xfId="0"/>
    <xf numFmtId="0" fontId="4" fillId="16" borderId="0" pivotButton="0" quotePrefix="0" xfId="0"/>
    <xf numFmtId="0" fontId="4" fillId="17" borderId="0" pivotButton="0" quotePrefix="0" xfId="0"/>
    <xf numFmtId="0" fontId="4" fillId="18"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4"/>
  <sheetViews>
    <sheetView workbookViewId="0">
      <pane ySplit="1" topLeftCell="A2" activePane="bottomLeft" state="frozen"/>
      <selection pane="bottomLeft" activeCell="A1" sqref="A1"/>
    </sheetView>
  </sheetViews>
  <sheetFormatPr baseColWidth="8" defaultRowHeight="15"/>
  <cols>
    <col width="34" customWidth="1" min="1" max="1"/>
    <col width="78" customWidth="1" min="2" max="2"/>
    <col width="26" customWidth="1" min="3" max="3"/>
    <col width="10" customWidth="1" min="4" max="4"/>
    <col width="13" customWidth="1" min="5" max="5"/>
    <col width="38" customWidth="1" min="6" max="6"/>
    <col width="26" customWidth="1" min="7" max="7"/>
    <col width="13" customWidth="1" min="8" max="8"/>
    <col width="46" customWidth="1" min="9" max="9"/>
  </cols>
  <sheetData>
    <row r="1" ht="22" customHeight="1">
      <c r="A1" s="1" t="inlineStr">
        <is>
          <t>ID</t>
        </is>
      </c>
      <c r="B1" s="1" t="inlineStr">
        <is>
          <t>Task</t>
        </is>
      </c>
      <c r="C1" s="1" t="inlineStr">
        <is>
          <t>Module</t>
        </is>
      </c>
      <c r="D1" s="1" t="inlineStr">
        <is>
          <t>Priority</t>
        </is>
      </c>
      <c r="E1" s="1" t="inlineStr">
        <is>
          <t>Status</t>
        </is>
      </c>
      <c r="F1" s="1" t="inlineStr">
        <is>
          <t>Source</t>
        </is>
      </c>
      <c r="G1" s="1" t="inlineStr">
        <is>
          <t>Notes</t>
        </is>
      </c>
      <c r="H1" s="21" t="inlineStr">
        <is>
          <t>Map Layer</t>
        </is>
      </c>
      <c r="I1" s="21" t="inlineStr">
        <is>
          <t>Map Block</t>
        </is>
      </c>
    </row>
    <row r="2">
      <c r="A2" s="2" t="inlineStr">
        <is>
          <t>CAL-0</t>
        </is>
      </c>
      <c r="B2" s="3" t="inlineStr">
        <is>
          <t>the two shipped defects, before any new feature: add tenantId (+ date range) to GET /api/calendar/events; partition calendar-storage-v1 by tenant and reset on logout/switch/impersonation. Verify: tenant A's events never appear for B; switching tenants clears selections and cached events.</t>
        </is>
      </c>
      <c r="C2" s="2" t="inlineStr">
        <is>
          <t>Calendar</t>
        </is>
      </c>
      <c r="D2" s="4" t="inlineStr">
        <is>
          <t>P0</t>
        </is>
      </c>
      <c r="E2" s="2" t="inlineStr">
        <is>
          <t>Open</t>
        </is>
      </c>
      <c r="F2" s="2" t="inlineStr">
        <is>
          <t>coral-calendar.md:64</t>
        </is>
      </c>
      <c r="G2" s="2" t="inlineStr"/>
      <c r="H2" s="22" t="inlineStr">
        <is>
          <t>L2</t>
        </is>
      </c>
      <c r="I2" t="inlineStr">
        <is>
          <t>Calendar module</t>
        </is>
      </c>
    </row>
    <row r="3">
      <c r="A3" s="2" t="inlineStr">
        <is>
          <t>CAL-1</t>
        </is>
      </c>
      <c r="B3" s="3" t="inlineStr">
        <is>
          <t>the blocker. Mirror api/email/connect/google/route.ts: a dedicated OAuth consent route requesting auth/calendar scope (incremental auth, access_type=offline, prompt=consent for a refresh token), a callback storing tokens bound to (userId, tenantId), and a Connect Google Calendar button + connecte...</t>
        </is>
      </c>
      <c r="C3" s="2" t="inlineStr">
        <is>
          <t>Calendar</t>
        </is>
      </c>
      <c r="D3" s="4" t="inlineStr">
        <is>
          <t>P0</t>
        </is>
      </c>
      <c r="E3" s="2" t="inlineStr">
        <is>
          <t>Open</t>
        </is>
      </c>
      <c r="F3" s="2" t="inlineStr">
        <is>
          <t>coral-calendar.md:65</t>
        </is>
      </c>
      <c r="G3" s="2" t="inlineStr"/>
      <c r="H3" s="22" t="inlineStr">
        <is>
          <t>L2</t>
        </is>
      </c>
      <c r="I3" t="inlineStr">
        <is>
          <t>Calendar module</t>
        </is>
      </c>
    </row>
    <row r="4">
      <c r="A4" s="2" t="inlineStr">
        <is>
          <t>ATT-1</t>
        </is>
      </c>
      <c r="B4" s="3" t="inlineStr">
        <is>
          <t>add to StorageProvider / BlobStorageProvider:</t>
        </is>
      </c>
      <c r="C4" s="2" t="inlineStr">
        <is>
          <t>Email attachments</t>
        </is>
      </c>
      <c r="D4" s="4" t="inlineStr">
        <is>
          <t>P0</t>
        </is>
      </c>
      <c r="E4" s="5" t="inlineStr">
        <is>
          <t>Done</t>
        </is>
      </c>
      <c r="F4" s="2" t="inlineStr">
        <is>
          <t>coral-email-attachments-bug.md:39</t>
        </is>
      </c>
      <c r="G4" s="2" t="inlineStr"/>
      <c r="H4" s="23" t="inlineStr">
        <is>
          <t>L1</t>
        </is>
      </c>
      <c r="I4" t="inlineStr">
        <is>
          <t>document engine — attachments</t>
        </is>
      </c>
    </row>
    <row r="5">
      <c r="A5" s="2" t="inlineStr">
        <is>
          <t>ATT-2</t>
        </is>
      </c>
      <c r="B5" s="3" t="inlineStr">
        <is>
          <t>send-invoice.ts and send-quote.ts. Keep the t_${tenantId}/ tenant check (it's correct and necessary).</t>
        </is>
      </c>
      <c r="C5" s="2" t="inlineStr">
        <is>
          <t>Email attachments</t>
        </is>
      </c>
      <c r="D5" s="4" t="inlineStr">
        <is>
          <t>P0</t>
        </is>
      </c>
      <c r="E5" s="5" t="inlineStr">
        <is>
          <t>Done</t>
        </is>
      </c>
      <c r="F5" s="2" t="inlineStr">
        <is>
          <t>coral-email-attachments-bug.md:52</t>
        </is>
      </c>
      <c r="G5" s="2" t="inlineStr"/>
      <c r="H5" s="23" t="inlineStr">
        <is>
          <t>L1</t>
        </is>
      </c>
      <c r="I5" t="inlineStr">
        <is>
          <t>document engine — attachments</t>
        </is>
      </c>
    </row>
    <row r="6">
      <c r="A6" s="2" t="inlineStr">
        <is>
          <t>ATT-3</t>
        </is>
      </c>
      <c r="B6" s="3" t="inlineStr">
        <is>
          <t>if any selected attachment cannot be fetched:</t>
        </is>
      </c>
      <c r="C6" s="2" t="inlineStr">
        <is>
          <t>Email attachments</t>
        </is>
      </c>
      <c r="D6" s="4" t="inlineStr">
        <is>
          <t>P0</t>
        </is>
      </c>
      <c r="E6" s="5" t="inlineStr">
        <is>
          <t>Done</t>
        </is>
      </c>
      <c r="F6" s="2" t="inlineStr">
        <is>
          <t>coral-email-attachments-bug.md:54</t>
        </is>
      </c>
      <c r="G6" s="2" t="inlineStr"/>
      <c r="H6" s="23" t="inlineStr">
        <is>
          <t>L1</t>
        </is>
      </c>
      <c r="I6" t="inlineStr">
        <is>
          <t>document engine — attachments</t>
        </is>
      </c>
    </row>
    <row r="7">
      <c r="A7" s="2" t="inlineStr">
        <is>
          <t>N1-GRID-CELL-RACE</t>
        </is>
      </c>
      <c r="B7" s="3" t="inlineStr">
        <is>
          <t>Sales grid: typing a name then clicking the date cell loses the typed text — whole-row read-modify-write race between cell editors</t>
        </is>
      </c>
      <c r="C7" s="2" t="inlineStr">
        <is>
          <t>Engine · Grid</t>
        </is>
      </c>
      <c r="D7" s="4" t="inlineStr">
        <is>
          <t>P0</t>
        </is>
      </c>
      <c r="E7" s="2" t="inlineStr">
        <is>
          <t>Open</t>
        </is>
      </c>
      <c r="F7" s="2" t="inlineStr">
        <is>
          <t>no spec yet</t>
        </is>
      </c>
      <c r="G7" s="2" t="inlineStr">
        <is>
          <t>Needs spec</t>
        </is>
      </c>
      <c r="H7" s="24" t="inlineStr">
        <is>
          <t>L3</t>
        </is>
      </c>
      <c r="I7" t="inlineStr">
        <is>
          <t>grid — write race</t>
        </is>
      </c>
    </row>
    <row r="8">
      <c r="A8" s="2" t="inlineStr">
        <is>
          <t>PROT-5</t>
        </is>
      </c>
      <c r="B8" s="3" t="inlineStr">
        <is>
          <t>open the existing send modal prefilled (to = supplier email, subject, body, attachment). Do not build a second mail composer. Recipient resolution: supplier's invoice/contact email; if missing, open with an empty To and flag it. CC Florin (the sending tenant owner) by default — his own copy is an...</t>
        </is>
      </c>
      <c r="C8" s="2" t="inlineStr">
        <is>
          <t>Finance · Invoice protest</t>
        </is>
      </c>
      <c r="D8" s="4" t="inlineStr">
        <is>
          <t>P0</t>
        </is>
      </c>
      <c r="E8" s="2" t="inlineStr">
        <is>
          <t>Open</t>
        </is>
      </c>
      <c r="F8" s="2" t="inlineStr">
        <is>
          <t>coral-invoice-protest.md:30</t>
        </is>
      </c>
      <c r="G8" s="2" t="inlineStr"/>
      <c r="H8" s="24" t="inlineStr">
        <is>
          <t>L3</t>
        </is>
      </c>
      <c r="I8" t="inlineStr">
        <is>
          <t>Finance — invoice protest</t>
        </is>
      </c>
    </row>
    <row r="9">
      <c r="A9" s="2" t="inlineStr">
        <is>
          <t>PI-LINES-1</t>
        </is>
      </c>
      <c r="B9" s="3" t="inlineStr">
        <is>
          <t>create getInvoiceLines(page) and use it in every surface (engine view, engine edit, PageModal, PDF template, totals calculation). Resolution order: blocks[financial-row] → properties.invoiceLines (parse the JSON string, tolerate already-parsed arrays) → peppolDetail.lines → []. No component parse...</t>
        </is>
      </c>
      <c r="C9" s="2" t="inlineStr">
        <is>
          <t>Finance · Purchase invoices</t>
        </is>
      </c>
      <c r="D9" s="4" t="inlineStr">
        <is>
          <t>P0</t>
        </is>
      </c>
      <c r="E9" s="2" t="inlineStr">
        <is>
          <t>Open</t>
        </is>
      </c>
      <c r="F9" s="2" t="inlineStr">
        <is>
          <t>coral-purchase-invoice-lines.md:19</t>
        </is>
      </c>
      <c r="G9" s="2" t="inlineStr"/>
      <c r="H9" s="24" t="inlineStr">
        <is>
          <t>L3</t>
        </is>
      </c>
      <c r="I9" t="inlineStr">
        <is>
          <t>Finance — purchase invoices</t>
        </is>
      </c>
    </row>
    <row r="10">
      <c r="A10" s="2" t="inlineStr">
        <is>
          <t>PI-LINES-2</t>
        </is>
      </c>
      <c r="B10" s="3" t="inlineStr">
        <is>
          <t>at import (Peppol inbox + scan), write the lines as financial-row blocks in addition to keeping invoiceLines for provenance. New invoices then render immediately with no edit-and-save ritual. Keep invoiceLines as the raw as-received record — useful for audit and for re-deriving if a mapping bug i...</t>
        </is>
      </c>
      <c r="C10" s="2" t="inlineStr">
        <is>
          <t>Finance · Purchase invoices</t>
        </is>
      </c>
      <c r="D10" s="4" t="inlineStr">
        <is>
          <t>P0</t>
        </is>
      </c>
      <c r="E10" s="2" t="inlineStr">
        <is>
          <t>Open</t>
        </is>
      </c>
      <c r="F10" s="2" t="inlineStr">
        <is>
          <t>coral-purchase-invoice-lines.md:20</t>
        </is>
      </c>
      <c r="G10" s="2" t="inlineStr"/>
      <c r="H10" s="24" t="inlineStr">
        <is>
          <t>L3</t>
        </is>
      </c>
      <c r="I10" t="inlineStr">
        <is>
          <t>Finance — purchase invoices</t>
        </is>
      </c>
    </row>
    <row r="11">
      <c r="A11" s="2" t="inlineStr">
        <is>
          <t>TS-1</t>
        </is>
      </c>
      <c r="B11" s="3" t="inlineStr">
        <is>
          <t>one tenant-scoped aggregation endpoint powering every view/export. Filters: period (from/to, presets: this week / last week / month / custom), worker(s), project(s), team, approval status, entry source (clocked / manual / adjusted). Returns per-entry rows and rollups: hours per worker, per projec...</t>
        </is>
      </c>
      <c r="C11" s="2" t="inlineStr">
        <is>
          <t>HR · Timesheet reporting</t>
        </is>
      </c>
      <c r="D11" s="4" t="inlineStr">
        <is>
          <t>P0</t>
        </is>
      </c>
      <c r="E11" s="5" t="inlineStr">
        <is>
          <t>Done</t>
        </is>
      </c>
      <c r="F11" s="2" t="inlineStr">
        <is>
          <t>coral-timesheet-reporting.md:30</t>
        </is>
      </c>
      <c r="G11" s="2" t="inlineStr">
        <is>
          <t>afbf405</t>
        </is>
      </c>
      <c r="H11" s="24" t="inlineStr">
        <is>
          <t>L3</t>
        </is>
      </c>
      <c r="I11" t="inlineStr">
        <is>
          <t>HR — timesheets</t>
        </is>
      </c>
    </row>
    <row r="12">
      <c r="A12" s="2" t="inlineStr">
        <is>
          <t>TS-2b</t>
        </is>
      </c>
      <c r="B12" s="3" t="inlineStr">
        <is>
          <t>approval actions exist but are write-only: there is no surface showing what is pending, what was approved/denied, by whom, or when. That makes the approval step unverifiable — and unverifiable approvals are worthless for payroll or a dispute. Implement all of the below as filter/grouping states o...</t>
        </is>
      </c>
      <c r="C12" s="2" t="inlineStr">
        <is>
          <t>HR · Timesheet reporting</t>
        </is>
      </c>
      <c r="D12" s="4" t="inlineStr">
        <is>
          <t>P0</t>
        </is>
      </c>
      <c r="E12" s="2" t="inlineStr">
        <is>
          <t>Open</t>
        </is>
      </c>
      <c r="F12" s="2" t="inlineStr">
        <is>
          <t>coral-timesheet-reporting.md:48</t>
        </is>
      </c>
      <c r="G12" s="2" t="inlineStr"/>
      <c r="H12" s="24" t="inlineStr">
        <is>
          <t>L3</t>
        </is>
      </c>
      <c r="I12" t="inlineStr">
        <is>
          <t>HR — timesheets</t>
        </is>
      </c>
    </row>
    <row r="13">
      <c r="A13" s="2" t="inlineStr">
        <is>
          <t>TS-3</t>
        </is>
      </c>
      <c r="B13" s="3" t="inlineStr">
        <is>
          <t>make the project attribution reliable:</t>
        </is>
      </c>
      <c r="C13" s="2" t="inlineStr">
        <is>
          <t>HR · Timesheet reporting</t>
        </is>
      </c>
      <c r="D13" s="4" t="inlineStr">
        <is>
          <t>P0</t>
        </is>
      </c>
      <c r="E13" s="2" t="inlineStr">
        <is>
          <t>Open</t>
        </is>
      </c>
      <c r="F13" s="2" t="inlineStr">
        <is>
          <t>coral-timesheet-reporting.md:54</t>
        </is>
      </c>
      <c r="G13" s="2" t="inlineStr"/>
      <c r="H13" s="24" t="inlineStr">
        <is>
          <t>L3</t>
        </is>
      </c>
      <c r="I13" t="inlineStr">
        <is>
          <t>HR — timesheets</t>
        </is>
      </c>
    </row>
    <row r="14">
      <c r="A14" s="2" t="inlineStr">
        <is>
          <t>TS-8</t>
        </is>
      </c>
      <c r="B14" s="3" t="inlineStr">
        <is>
          <t>(Florin decision, 2026-07-26)</t>
        </is>
      </c>
      <c r="C14" s="2" t="inlineStr">
        <is>
          <t>HR · Timesheet reporting</t>
        </is>
      </c>
      <c r="D14" s="4" t="inlineStr">
        <is>
          <t>P0</t>
        </is>
      </c>
      <c r="E14" s="2" t="inlineStr">
        <is>
          <t>Open</t>
        </is>
      </c>
      <c r="F14" s="2" t="inlineStr">
        <is>
          <t>coral-timesheet-reporting.md:69</t>
        </is>
      </c>
      <c r="G14" s="2" t="inlineStr"/>
      <c r="H14" s="24" t="inlineStr">
        <is>
          <t>L3</t>
        </is>
      </c>
      <c r="I14" t="inlineStr">
        <is>
          <t>HR — timesheets</t>
        </is>
      </c>
    </row>
    <row r="15">
      <c r="A15" s="2" t="inlineStr">
        <is>
          <t>TSP-1</t>
        </is>
      </c>
      <c r="B15" s="3" t="inlineStr">
        <is>
          <t>replace hrList('clock-entries') with GET /api/hr/timesheet-reports, passing the filter state as query params. Keep the existing approve/deny path (hrUpdate). Default period = this week — never fetch all history by default (today it does). Render summary into StatCards and entries into the existin...</t>
        </is>
      </c>
      <c r="C15" s="2" t="inlineStr">
        <is>
          <t>HR · Timesheets page</t>
        </is>
      </c>
      <c r="D15" s="4" t="inlineStr">
        <is>
          <t>P0</t>
        </is>
      </c>
      <c r="E15" s="6" t="inlineStr">
        <is>
          <t>In progress</t>
        </is>
      </c>
      <c r="F15" s="2" t="inlineStr">
        <is>
          <t>coral-timesheets-page.md:64</t>
        </is>
      </c>
      <c r="G15" s="2" t="inlineStr"/>
      <c r="H15" s="24" t="inlineStr">
        <is>
          <t>L3</t>
        </is>
      </c>
      <c r="I15" t="inlineStr">
        <is>
          <t>HR — timesheets page</t>
        </is>
      </c>
    </row>
    <row r="16">
      <c r="A16" s="2" t="inlineStr">
        <is>
          <t>TSP-5</t>
        </is>
      </c>
      <c r="B16" s="3" t="inlineStr">
        <is>
          <t>inline approve/deny + multi-select bulk with confirmation; reason-for-approval flags visible per row (late · manual · off-geofence · missing clock-out) — a queue without why is just a list; approver + timestamp columns in the approved/denied views; approvals reversible with a trail. Approved and ...</t>
        </is>
      </c>
      <c r="C16" s="2" t="inlineStr">
        <is>
          <t>HR · Timesheets page</t>
        </is>
      </c>
      <c r="D16" s="4" t="inlineStr">
        <is>
          <t>P0</t>
        </is>
      </c>
      <c r="E16" s="2" t="inlineStr">
        <is>
          <t>Open</t>
        </is>
      </c>
      <c r="F16" s="2" t="inlineStr">
        <is>
          <t>coral-timesheets-page.md:68</t>
        </is>
      </c>
      <c r="G16" s="2" t="inlineStr"/>
      <c r="H16" s="24" t="inlineStr">
        <is>
          <t>L3</t>
        </is>
      </c>
      <c r="I16" t="inlineStr">
        <is>
          <t>HR — timesheets page</t>
        </is>
      </c>
    </row>
    <row r="17">
      <c r="A17" s="2" t="inlineStr">
        <is>
          <t>TSP-B1</t>
        </is>
      </c>
      <c r="B17" s="3" t="inlineStr">
        <is>
          <t>(this is why the table looks empty / shows only a few rows). timesheet-reports/route.ts:36,60 applies where.userId = { in: getAccessibleUserIds(...) } unconditionally, and getAccessibleUserIds returns only the caller's own id unless they lead an HrTeam. So a TENANT_OWNER is scoped like a workforc...</t>
        </is>
      </c>
      <c r="C17" s="2" t="inlineStr">
        <is>
          <t>HR · Timesheets page</t>
        </is>
      </c>
      <c r="D17" s="4" t="inlineStr">
        <is>
          <t>P0</t>
        </is>
      </c>
      <c r="E17" s="5" t="inlineStr">
        <is>
          <t>Done</t>
        </is>
      </c>
      <c r="F17" s="2" t="inlineStr">
        <is>
          <t>coral-timesheets-page.md:57</t>
        </is>
      </c>
      <c r="G17" s="2" t="inlineStr"/>
      <c r="H17" s="24" t="inlineStr">
        <is>
          <t>L3</t>
        </is>
      </c>
      <c r="I17" t="inlineStr">
        <is>
          <t>HR — timesheets page</t>
        </is>
      </c>
    </row>
    <row r="18">
      <c r="A18" s="2" t="inlineStr">
        <is>
          <t>TSP-B2</t>
        </is>
      </c>
      <c r="B18" s="3" t="inlineStr">
        <is>
          <t>the page calls useTranslations('Hr.timesheets') (page.tsx:40) but the Hr.timesheets. keys don't exist in messages/{en,nl,fr}.json, so next-intl renders the key paths (Hr.timesheets.title, HR.TIMESHEETS.TOTALHOURS). Same class as TASKS-I18N-NAMES. Add the full block in all three languages using th...</t>
        </is>
      </c>
      <c r="C18" s="2" t="inlineStr">
        <is>
          <t>HR · Timesheets page</t>
        </is>
      </c>
      <c r="D18" s="4" t="inlineStr">
        <is>
          <t>P0</t>
        </is>
      </c>
      <c r="E18" s="5" t="inlineStr">
        <is>
          <t>Done</t>
        </is>
      </c>
      <c r="F18" s="2" t="inlineStr">
        <is>
          <t>coral-timesheets-page.md:58</t>
        </is>
      </c>
      <c r="G18" s="2" t="inlineStr"/>
      <c r="H18" s="24" t="inlineStr">
        <is>
          <t>L3</t>
        </is>
      </c>
      <c r="I18" t="inlineStr">
        <is>
          <t>HR — timesheets page</t>
        </is>
      </c>
    </row>
    <row r="19">
      <c r="A19" s="2" t="inlineStr">
        <is>
          <t>MEM-1</t>
        </is>
      </c>
      <c r="B19" s="3" t="inlineStr">
        <is>
          <t>(cheapest real win — do this first)</t>
        </is>
      </c>
      <c r="C19" s="2" t="inlineStr">
        <is>
          <t>Performance · Memory</t>
        </is>
      </c>
      <c r="D19" s="4" t="inlineStr">
        <is>
          <t>P0</t>
        </is>
      </c>
      <c r="E19" s="5" t="inlineStr">
        <is>
          <t>Done</t>
        </is>
      </c>
      <c r="F19" s="2" t="inlineStr">
        <is>
          <t>coral-memory-investigation.md:37</t>
        </is>
      </c>
      <c r="G19" s="2" t="inlineStr"/>
      <c r="H19" s="23" t="inlineStr">
        <is>
          <t>L1</t>
        </is>
      </c>
      <c r="I19" t="inlineStr">
        <is>
          <t>read path — pageIndex, hydration</t>
        </is>
      </c>
    </row>
    <row r="20">
      <c r="A20" s="2" t="inlineStr">
        <is>
          <t>MEM-3a</t>
        </is>
      </c>
      <c r="B20" s="3" t="inlineStr">
        <is>
          <t>ADD THE INDEX — getGlobalPageIndex() + pageIndex store slice; purely additive, do first</t>
        </is>
      </c>
      <c r="C20" s="2" t="inlineStr">
        <is>
          <t>Performance · Memory</t>
        </is>
      </c>
      <c r="D20" s="4" t="inlineStr">
        <is>
          <t>P0</t>
        </is>
      </c>
      <c r="E20" s="2" t="inlineStr">
        <is>
          <t>Open</t>
        </is>
      </c>
      <c r="F20" s="2" t="inlineStr">
        <is>
          <t>coral-mem3-lazy-data.md</t>
        </is>
      </c>
      <c r="G20" s="2" t="inlineStr"/>
      <c r="H20" s="23" t="inlineStr">
        <is>
          <t>L1</t>
        </is>
      </c>
      <c r="I20" t="inlineStr">
        <is>
          <t>read path — pageIndex, hydration</t>
        </is>
      </c>
    </row>
    <row r="21">
      <c r="A21" s="2" t="inlineStr">
        <is>
          <t>PROJ-1</t>
        </is>
      </c>
      <c r="B21" s="3" t="inlineStr">
        <is>
          <t>verify the crash is gone (ADMIN-QUERYCLIENT-PROVIDER) and finish its tenant guarding (scoped query keys + clear-on-switch). Nothing else matters until the detail opens reliably.</t>
        </is>
      </c>
      <c r="C21" s="2" t="inlineStr">
        <is>
          <t>Projects</t>
        </is>
      </c>
      <c r="D21" s="4" t="inlineStr">
        <is>
          <t>P0</t>
        </is>
      </c>
      <c r="E21" s="6" t="inlineStr">
        <is>
          <t>In progress</t>
        </is>
      </c>
      <c r="F21" s="2" t="inlineStr">
        <is>
          <t>coral-project-module.md:29</t>
        </is>
      </c>
      <c r="G21" s="2" t="inlineStr"/>
      <c r="H21" s="24" t="inlineStr">
        <is>
          <t>L3</t>
        </is>
      </c>
      <c r="I21" t="inlineStr">
        <is>
          <t>Projects</t>
        </is>
      </c>
    </row>
    <row r="22">
      <c r="A22" s="2" t="inlineStr">
        <is>
          <t>N3-IDLE-CRASH</t>
        </is>
      </c>
      <c r="B22" s="3" t="inlineStr">
        <is>
          <t>App idle for a long time crashes: TypeError: Load failed (Safari fetch). Leading hypothesis: Neon autosuspend</t>
        </is>
      </c>
      <c r="C22" s="2" t="inlineStr">
        <is>
          <t>Reliability</t>
        </is>
      </c>
      <c r="D22" s="4" t="inlineStr">
        <is>
          <t>P0</t>
        </is>
      </c>
      <c r="E22" s="2" t="inlineStr">
        <is>
          <t>Open</t>
        </is>
      </c>
      <c r="F22" s="2" t="inlineStr">
        <is>
          <t>coral-memory-investigation.md</t>
        </is>
      </c>
      <c r="G22" s="2" t="inlineStr">
        <is>
          <t>Evidence-first</t>
        </is>
      </c>
      <c r="H22" s="24" t="inlineStr">
        <is>
          <t>L3</t>
        </is>
      </c>
      <c r="I22" t="inlineStr">
        <is>
          <t>grid</t>
        </is>
      </c>
    </row>
    <row r="23">
      <c r="A23" s="2" t="inlineStr">
        <is>
          <t>RCPT-L4b-1</t>
        </is>
      </c>
      <c r="B23" s="3" t="inlineStr">
        <is>
          <t>add onComplete(summary) to the modal; the parent refreshes the store and switches to the Inbox / Te verwerken view. Summary shape: { total, ready, needsReview, failed }.</t>
        </is>
      </c>
      <c r="C23" s="2" t="inlineStr">
        <is>
          <t>Scan · Receipt bulk</t>
        </is>
      </c>
      <c r="D23" s="4" t="inlineStr">
        <is>
          <t>P0</t>
        </is>
      </c>
      <c r="E23" s="5" t="inlineStr">
        <is>
          <t>Done</t>
        </is>
      </c>
      <c r="F23" s="2" t="inlineStr">
        <is>
          <t>coral-receipt-bulk.md:77</t>
        </is>
      </c>
      <c r="G23" s="2" t="inlineStr"/>
      <c r="H23" s="24" t="inlineStr">
        <is>
          <t>L3</t>
        </is>
      </c>
      <c r="I23" t="inlineStr">
        <is>
          <t>Expenses — receipts</t>
        </is>
      </c>
    </row>
    <row r="24">
      <c r="A24" s="2" t="inlineStr">
        <is>
          <t>RCPT-L4b-2</t>
        </is>
      </c>
      <c r="B24" s="3" t="inlineStr">
        <is>
          <t>after each job, insert/refresh the created page in the store so the grid updates as documents complete, not on reload. (Server-first create + no client sync is the same gap that made column visibility "not stick" — see pd.md FORCING FUNCTIONS #1.)</t>
        </is>
      </c>
      <c r="C24" s="2" t="inlineStr">
        <is>
          <t>Scan · Receipt bulk</t>
        </is>
      </c>
      <c r="D24" s="4" t="inlineStr">
        <is>
          <t>P0</t>
        </is>
      </c>
      <c r="E24" s="5" t="inlineStr">
        <is>
          <t>Done</t>
        </is>
      </c>
      <c r="F24" s="2" t="inlineStr">
        <is>
          <t>coral-receipt-bulk.md:78</t>
        </is>
      </c>
      <c r="G24" s="2" t="inlineStr"/>
      <c r="H24" s="24" t="inlineStr">
        <is>
          <t>L3</t>
        </is>
      </c>
      <c r="I24" t="inlineStr">
        <is>
          <t>Expenses — receipts</t>
        </is>
      </c>
    </row>
    <row r="25">
      <c r="A25" s="2" t="inlineStr">
        <is>
          <t>A1</t>
        </is>
      </c>
      <c r="B25" s="3" t="inlineStr">
        <is>
          <t>implement the MISSING submitLateEntry server action in src/app/actions/timesheets.ts (Planner-traced: it doesn't exist → TypeError: s is not a function → "Failed to submit late entry"). Create a PENDING ClockEntry from the input LateEntryCard already sends (targetUserId, clockIn/OutTime, location...</t>
        </is>
      </c>
      <c r="C25" s="2" t="inlineStr">
        <is>
          <t>Triage / core</t>
        </is>
      </c>
      <c r="D25" s="4" t="inlineStr">
        <is>
          <t>P0</t>
        </is>
      </c>
      <c r="E25" s="5" t="inlineStr">
        <is>
          <t>Done</t>
        </is>
      </c>
      <c r="F25" s="2" t="inlineStr">
        <is>
          <t>ground-zero-triage.md:716</t>
        </is>
      </c>
      <c r="G25" s="2" t="inlineStr"/>
      <c r="H25" s="24" t="inlineStr">
        <is>
          <t>L3</t>
        </is>
      </c>
      <c r="I25" t="inlineStr">
        <is>
          <t>grid</t>
        </is>
      </c>
    </row>
    <row r="26">
      <c r="A26" s="2" t="inlineStr">
        <is>
          <t>ADMIN-QUERYCLIENT-PROVIDER</t>
        </is>
      </c>
      <c r="B26" s="3" t="inlineStr">
        <is>
          <t>ROOT CAUSE (Planner-traced from the live console): useClockEntries (now React Query) + useScheduledShifts are imported by src/components/admin/database/components/ProjectDetailView.tsx (L12-13, added by workforce-scoping commit 9c0b5ff). The admin app (AdminLayout) has NO QueryClientProvider — on...</t>
        </is>
      </c>
      <c r="C26" s="2" t="inlineStr">
        <is>
          <t>Triage / core</t>
        </is>
      </c>
      <c r="D26" s="4" t="inlineStr">
        <is>
          <t>P0</t>
        </is>
      </c>
      <c r="E26" s="5" t="inlineStr">
        <is>
          <t>Done</t>
        </is>
      </c>
      <c r="F26" s="2" t="inlineStr">
        <is>
          <t>ground-zero-triage.md:663</t>
        </is>
      </c>
      <c r="G26" s="2" t="inlineStr"/>
      <c r="H26" s="25" t="inlineStr">
        <is>
          <t>⟂</t>
        </is>
      </c>
      <c r="I26" t="inlineStr">
        <is>
          <t>deployment / ops</t>
        </is>
      </c>
    </row>
    <row r="27">
      <c r="A27" s="2" t="inlineStr">
        <is>
          <t>DATA-PERSIST-INTEGRITY</t>
        </is>
      </c>
      <c r="B27" s="3" t="inlineStr">
        <is>
          <t>make edits durable and un-clobberable. This is the #1 data-safety fix now that Coral holds real work.</t>
        </is>
      </c>
      <c r="C27" s="2" t="inlineStr">
        <is>
          <t>Triage / core</t>
        </is>
      </c>
      <c r="D27" s="4" t="inlineStr">
        <is>
          <t>P0</t>
        </is>
      </c>
      <c r="E27" s="2" t="inlineStr">
        <is>
          <t>Open</t>
        </is>
      </c>
      <c r="F27" s="2" t="inlineStr">
        <is>
          <t>ground-zero-triage.md:645</t>
        </is>
      </c>
      <c r="G27" s="2" t="inlineStr"/>
      <c r="H27" s="25" t="inlineStr">
        <is>
          <t>⟂</t>
        </is>
      </c>
      <c r="I27" t="inlineStr">
        <is>
          <t>data model</t>
        </is>
      </c>
    </row>
    <row r="28">
      <c r="A28" s="2" t="inlineStr">
        <is>
          <t>HR-NAV-ROUTES-TO-WORKHUB</t>
        </is>
      </c>
      <c r="B28" s="3" t="inlineStr">
        <is>
          <t>STILL BROKEN (Florin re-confirmed 2026-07-12: "click HR still routes to timetracker") — NOT YET APPLIED. The sidebar-order/persistence work (commit 5202fca) landed but this href change was skipped. useSidebarStore.ts:67 still reads href: '/admin/hr/time-tracker' → that route is redirect('/workhub...</t>
        </is>
      </c>
      <c r="C28" s="2" t="inlineStr">
        <is>
          <t>Triage / core</t>
        </is>
      </c>
      <c r="D28" s="4" t="inlineStr">
        <is>
          <t>P0</t>
        </is>
      </c>
      <c r="E28" s="5" t="inlineStr">
        <is>
          <t>Done</t>
        </is>
      </c>
      <c r="F28" s="2" t="inlineStr">
        <is>
          <t>ground-zero-triage.md:412</t>
        </is>
      </c>
      <c r="G28" s="2" t="inlineStr"/>
      <c r="H28" s="24" t="inlineStr">
        <is>
          <t>L3</t>
        </is>
      </c>
      <c r="I28" t="inlineStr">
        <is>
          <t>HR / Workforce</t>
        </is>
      </c>
    </row>
    <row r="29">
      <c r="A29" s="2" t="inlineStr">
        <is>
          <t>OCC-1-REBASELINE</t>
        </is>
      </c>
      <c r="B29" s="3" t="inlineStr">
        <is>
          <t>one-line fix, do this first, it alone stops the permanent-conflict loop.</t>
        </is>
      </c>
      <c r="C29" s="2" t="inlineStr">
        <is>
          <t>Triage / core</t>
        </is>
      </c>
      <c r="D29" s="4" t="inlineStr">
        <is>
          <t>P0</t>
        </is>
      </c>
      <c r="E29" s="5" t="inlineStr">
        <is>
          <t>Done</t>
        </is>
      </c>
      <c r="F29" s="2" t="inlineStr">
        <is>
          <t>ground-zero-triage.md:83</t>
        </is>
      </c>
      <c r="G29" s="2" t="inlineStr"/>
      <c r="H29" s="23" t="inlineStr">
        <is>
          <t>L1</t>
        </is>
      </c>
      <c r="I29" t="inlineStr">
        <is>
          <t>write path — concurrency</t>
        </is>
      </c>
    </row>
    <row r="30">
      <c r="A30" s="2" t="inlineStr">
        <is>
          <t>OCC-11-BLOCKSVERSION-REPLACES-HASHING</t>
        </is>
      </c>
      <c r="B30" s="3" t="inlineStr">
        <is>
          <t>(ESCALATION — only if OCC-9b doesn't hold. Then it supersedes OCC-9 entirely.)</t>
        </is>
      </c>
      <c r="C30" s="2" t="inlineStr">
        <is>
          <t>Triage / core</t>
        </is>
      </c>
      <c r="D30" s="4" t="inlineStr">
        <is>
          <t>P0</t>
        </is>
      </c>
      <c r="E30" s="5" t="inlineStr">
        <is>
          <t>Done</t>
        </is>
      </c>
      <c r="F30" s="2" t="inlineStr">
        <is>
          <t>ground-zero-triage.md:161</t>
        </is>
      </c>
      <c r="G30" s="2" t="inlineStr"/>
      <c r="H30" s="23" t="inlineStr">
        <is>
          <t>L1</t>
        </is>
      </c>
      <c r="I30" t="inlineStr">
        <is>
          <t>write path — concurrency</t>
        </is>
      </c>
    </row>
    <row r="31">
      <c r="A31" s="2" t="inlineStr">
        <is>
          <t>OCC-12-BLOCKSVERSION-LOST-ITS-QUALIFIERS</t>
        </is>
      </c>
      <c r="B31" s="3" t="inlineStr">
        <is>
          <t>(Florin: "OCC-11 didn't cut it either" — 2026-07-27)</t>
        </is>
      </c>
      <c r="C31" s="2" t="inlineStr">
        <is>
          <t>Triage / core</t>
        </is>
      </c>
      <c r="D31" s="4" t="inlineStr">
        <is>
          <t>P0</t>
        </is>
      </c>
      <c r="E31" s="5" t="inlineStr">
        <is>
          <t>Done</t>
        </is>
      </c>
      <c r="F31" s="2" t="inlineStr">
        <is>
          <t>ground-zero-triage.md:178</t>
        </is>
      </c>
      <c r="G31" s="2" t="inlineStr"/>
      <c r="H31" s="23" t="inlineStr">
        <is>
          <t>L1</t>
        </is>
      </c>
      <c r="I31" t="inlineStr">
        <is>
          <t>write path — concurrency</t>
        </is>
      </c>
    </row>
    <row r="32">
      <c r="A32" s="2" t="inlineStr">
        <is>
          <t>OCC-15-SYNC-QUEUE-HAS-NO-SINGLE-FLIGHT-LOCK</t>
        </is>
      </c>
      <c r="B32" s="3" t="inlineStr">
        <is>
          <t>(Florin, 2026-07-27, after OCC-14 fixed the general case: "I edited a quote, deleted lines, no protest. The sync issue fires when I edit text.")</t>
        </is>
      </c>
      <c r="C32" s="2" t="inlineStr">
        <is>
          <t>Triage / core</t>
        </is>
      </c>
      <c r="D32" s="4" t="inlineStr">
        <is>
          <t>P0</t>
        </is>
      </c>
      <c r="E32" s="5" t="inlineStr">
        <is>
          <t>Done</t>
        </is>
      </c>
      <c r="F32" s="2" t="inlineStr">
        <is>
          <t>ground-zero-triage.md:227</t>
        </is>
      </c>
      <c r="G32" s="2" t="inlineStr"/>
      <c r="H32" s="23" t="inlineStr">
        <is>
          <t>L1</t>
        </is>
      </c>
      <c r="I32" t="inlineStr">
        <is>
          <t>write path — concurrency</t>
        </is>
      </c>
    </row>
    <row r="33">
      <c r="A33" s="2" t="inlineStr">
        <is>
          <t>OCC-2-SYSTEM-WRITE-TAG</t>
        </is>
      </c>
      <c r="B33" s="3" t="inlineStr">
        <is>
          <t>mark non-human writes so they're never reported as "someone else."</t>
        </is>
      </c>
      <c r="C33" s="2" t="inlineStr">
        <is>
          <t>Triage / core</t>
        </is>
      </c>
      <c r="D33" s="4" t="inlineStr">
        <is>
          <t>P0</t>
        </is>
      </c>
      <c r="E33" s="5" t="inlineStr">
        <is>
          <t>Done</t>
        </is>
      </c>
      <c r="F33" s="2" t="inlineStr">
        <is>
          <t>ground-zero-triage.md:90</t>
        </is>
      </c>
      <c r="G33" s="2" t="inlineStr"/>
      <c r="H33" s="23" t="inlineStr">
        <is>
          <t>L1</t>
        </is>
      </c>
      <c r="I33" t="inlineStr">
        <is>
          <t>write path — concurrency</t>
        </is>
      </c>
    </row>
    <row r="34">
      <c r="A34" s="2" t="inlineStr">
        <is>
          <t>OCC-6-BLOCKS-GUARD-TOO-BROAD</t>
        </is>
      </c>
      <c r="B34" s="3" t="inlineStr">
        <is>
          <t>REGRESSION — reproducible on EVERY new quote (Florin live, 2026-07-26).</t>
        </is>
      </c>
      <c r="C34" s="2" t="inlineStr">
        <is>
          <t>Triage / core</t>
        </is>
      </c>
      <c r="D34" s="4" t="inlineStr">
        <is>
          <t>P0</t>
        </is>
      </c>
      <c r="E34" s="5" t="inlineStr">
        <is>
          <t>Done</t>
        </is>
      </c>
      <c r="F34" s="2" t="inlineStr">
        <is>
          <t>ground-zero-triage.md:113</t>
        </is>
      </c>
      <c r="G34" s="2" t="inlineStr"/>
      <c r="H34" s="23" t="inlineStr">
        <is>
          <t>L1</t>
        </is>
      </c>
      <c r="I34" t="inlineStr">
        <is>
          <t>write path — concurrency</t>
        </is>
      </c>
    </row>
    <row r="35">
      <c r="A35" s="2" t="inlineStr">
        <is>
          <t>OCC-7-DERIVED-FIELDS-NEVER-CONFLICT</t>
        </is>
      </c>
      <c r="B35" s="3" t="inlineStr">
        <is>
          <t>(Florin live, 2026-07-26 — conflict dialog on totalVat / totalExVat / totalIncVat)</t>
        </is>
      </c>
      <c r="C35" s="2" t="inlineStr">
        <is>
          <t>Triage / core</t>
        </is>
      </c>
      <c r="D35" s="4" t="inlineStr">
        <is>
          <t>P0</t>
        </is>
      </c>
      <c r="E35" s="5" t="inlineStr">
        <is>
          <t>Done</t>
        </is>
      </c>
      <c r="F35" s="2" t="inlineStr">
        <is>
          <t>ground-zero-triage.md:127</t>
        </is>
      </c>
      <c r="G35" s="2" t="inlineStr"/>
      <c r="H35" s="23" t="inlineStr">
        <is>
          <t>L1</t>
        </is>
      </c>
      <c r="I35" t="inlineStr">
        <is>
          <t>write path — concurrency</t>
        </is>
      </c>
    </row>
    <row r="36">
      <c r="A36" s="2" t="inlineStr">
        <is>
          <t>OCC-9-BLOCKSHASH-CAN-NEVER-MATCH</t>
        </is>
      </c>
      <c r="B36" s="3" t="inlineStr">
        <is>
          <t>(Florin live, 2026-07-27 — "No conflicting fields found! The conflict was likely in document layout or blocks" while editing a quote)</t>
        </is>
      </c>
      <c r="C36" s="2" t="inlineStr">
        <is>
          <t>Triage / core</t>
        </is>
      </c>
      <c r="D36" s="4" t="inlineStr">
        <is>
          <t>P0</t>
        </is>
      </c>
      <c r="E36" s="5" t="inlineStr">
        <is>
          <t>Done</t>
        </is>
      </c>
      <c r="F36" s="2" t="inlineStr">
        <is>
          <t>ground-zero-triage.md:145</t>
        </is>
      </c>
      <c r="G36" s="2" t="inlineStr"/>
      <c r="H36" s="23" t="inlineStr">
        <is>
          <t>L1</t>
        </is>
      </c>
      <c r="I36" t="inlineStr">
        <is>
          <t>write path — concurrency</t>
        </is>
      </c>
    </row>
    <row r="37">
      <c r="A37" s="2" t="inlineStr">
        <is>
          <t>OCC-9b</t>
        </is>
      </c>
      <c r="B37" s="3" t="inlineStr">
        <is>
          <t>(do before OCC-11; zero schema risk, may be the whole fix)</t>
        </is>
      </c>
      <c r="C37" s="2" t="inlineStr">
        <is>
          <t>Triage / core</t>
        </is>
      </c>
      <c r="D37" s="4" t="inlineStr">
        <is>
          <t>P0</t>
        </is>
      </c>
      <c r="E37" s="5" t="inlineStr">
        <is>
          <t>Done</t>
        </is>
      </c>
      <c r="F37" s="2" t="inlineStr">
        <is>
          <t>ground-zero-triage.md:155</t>
        </is>
      </c>
      <c r="G37" s="2" t="inlineStr"/>
      <c r="H37" s="23" t="inlineStr">
        <is>
          <t>L1</t>
        </is>
      </c>
      <c r="I37" t="inlineStr">
        <is>
          <t>write path — concurrency</t>
        </is>
      </c>
    </row>
    <row r="38">
      <c r="A38" s="2" t="inlineStr">
        <is>
          <t>QUOTE-INVOICE-ENGINE-130</t>
        </is>
      </c>
      <c r="B38" s="3" t="inlineStr">
        <is>
          <t>ROOT CAUSE (Planner, high confidence): a broken component import introduced by cdd3b41 ATTACH-EVERYWHERE ("reusable panel on all detail surfaces" — touched BOTH engines). Last verified-working quotation engine was at aaf3c98 (TDZ fix); cdd3b41 is the next change and broke it → matches Florin's "a...</t>
        </is>
      </c>
      <c r="C38" s="2" t="inlineStr">
        <is>
          <t>Triage / core</t>
        </is>
      </c>
      <c r="D38" s="4" t="inlineStr">
        <is>
          <t>P0</t>
        </is>
      </c>
      <c r="E38" s="5" t="inlineStr">
        <is>
          <t>Done</t>
        </is>
      </c>
      <c r="F38" s="2" t="inlineStr">
        <is>
          <t>ground-zero-triage.md:670</t>
        </is>
      </c>
      <c r="G38" s="2" t="inlineStr"/>
      <c r="H38" s="24" t="inlineStr">
        <is>
          <t>L3</t>
        </is>
      </c>
      <c r="I38" t="inlineStr">
        <is>
          <t>Quotations engine</t>
        </is>
      </c>
    </row>
    <row r="39">
      <c r="A39" s="2" t="inlineStr">
        <is>
          <t>SCHED-DELETE-CRASH</t>
        </is>
      </c>
      <c r="B39" s="3" t="inlineStr">
        <is>
          <t>deleting a shift crashes the app; a second (confirm) modal never surfaces from the edit-shift modal → force-nav to dashboard. ROOT CAUSE (traced): EditShiftDialog.tsx nests an AlertDialog (confirm) inside the Dialog (L27-35 imports both) — Radix nested Dialog/AlertDialog don't co-render cleanly (...</t>
        </is>
      </c>
      <c r="C39" s="2" t="inlineStr">
        <is>
          <t>Triage / core</t>
        </is>
      </c>
      <c r="D39" s="4" t="inlineStr">
        <is>
          <t>P0</t>
        </is>
      </c>
      <c r="E39" s="5" t="inlineStr">
        <is>
          <t>Done</t>
        </is>
      </c>
      <c r="F39" s="2" t="inlineStr">
        <is>
          <t>ground-zero-triage.md:631</t>
        </is>
      </c>
      <c r="G39" s="2" t="inlineStr"/>
      <c r="H39" s="24" t="inlineStr">
        <is>
          <t>L3</t>
        </is>
      </c>
      <c r="I39" t="inlineStr">
        <is>
          <t>HR — scheduling</t>
        </is>
      </c>
    </row>
    <row r="40">
      <c r="A40" s="2" t="inlineStr">
        <is>
          <t>WORKHUB-LEAVE-SUBMIT-CRASH</t>
        </is>
      </c>
      <c r="B40" s="3" t="inlineStr">
        <is>
          <t>submitting a leave request crashes the app. Planner-traced: src/components/time-tracker/components/TimeOffRequestForm.tsx handleSubmit (L59) builds description: \${format(startDate!, 'MMM d')} - ${format(endDate!, 'MMM d, yyyy')}\ (L68) — the ! non-null assertions are unsafe; if startDate/endDate...</t>
        </is>
      </c>
      <c r="C40" s="2" t="inlineStr">
        <is>
          <t>Triage / core</t>
        </is>
      </c>
      <c r="D40" s="4" t="inlineStr">
        <is>
          <t>P0</t>
        </is>
      </c>
      <c r="E40" s="5" t="inlineStr">
        <is>
          <t>Done</t>
        </is>
      </c>
      <c r="F40" s="2" t="inlineStr">
        <is>
          <t>ground-zero-triage.md:1103</t>
        </is>
      </c>
      <c r="G40" s="2" t="inlineStr"/>
      <c r="H40" s="24" t="inlineStr">
        <is>
          <t>L3</t>
        </is>
      </c>
      <c r="I40" t="inlineStr">
        <is>
          <t>shells &amp; navigation — WorkHubShell</t>
        </is>
      </c>
    </row>
    <row r="41">
      <c r="A41" s="2" t="inlineStr">
        <is>
          <t>WORKHUB-SHIFT-USERID-MISMATCH</t>
        </is>
      </c>
      <c r="B41" s="3" t="inlineStr">
        <is>
          <t>scheduled shifts never appear in the WorkHub app. Florin created single / recurring / leave shifts successfully; none show for the worker.</t>
        </is>
      </c>
      <c r="C41" s="2" t="inlineStr">
        <is>
          <t>Triage / core</t>
        </is>
      </c>
      <c r="D41" s="4" t="inlineStr">
        <is>
          <t>P0</t>
        </is>
      </c>
      <c r="E41" s="5" t="inlineStr">
        <is>
          <t>Done</t>
        </is>
      </c>
      <c r="F41" s="2" t="inlineStr">
        <is>
          <t>ground-zero-triage.md:246</t>
        </is>
      </c>
      <c r="G41" s="2" t="inlineStr"/>
      <c r="H41" s="24" t="inlineStr">
        <is>
          <t>L3</t>
        </is>
      </c>
      <c r="I41" t="inlineStr">
        <is>
          <t>shells &amp; navigation — WorkHubShell</t>
        </is>
      </c>
    </row>
    <row r="42">
      <c r="A42" s="2" t="inlineStr">
        <is>
          <t>WORKHUB-SHIFTS-FILTERED-BY-EMPLOYEE-MAP</t>
        </is>
      </c>
      <c r="B42" s="3" t="inlineStr">
        <is>
          <t>components/time-tracker/hooks/useScheduledShifts.ts:133-136:</t>
        </is>
      </c>
      <c r="C42" s="2" t="inlineStr">
        <is>
          <t>Triage / core</t>
        </is>
      </c>
      <c r="D42" s="4" t="inlineStr">
        <is>
          <t>P0</t>
        </is>
      </c>
      <c r="E42" s="5" t="inlineStr">
        <is>
          <t>Done</t>
        </is>
      </c>
      <c r="F42" s="2" t="inlineStr">
        <is>
          <t>ground-zero-triage.md:312</t>
        </is>
      </c>
      <c r="G42" s="2" t="inlineStr"/>
      <c r="H42" s="24" t="inlineStr">
        <is>
          <t>L3</t>
        </is>
      </c>
      <c r="I42" t="inlineStr">
        <is>
          <t>shells &amp; navigation — WorkHubShell</t>
        </is>
      </c>
    </row>
    <row r="43">
      <c r="A43" s="2" t="inlineStr">
        <is>
          <t>WORKHUB-SITEVISIT-RESOLVEDBID</t>
        </is>
      </c>
      <c r="B43" s="3" t="inlineStr">
        <is>
          <t>ROOT CAUSE (Planner-traced at source): src/components/time-tracker/components/SiteVisitModal.tsx:39 does const resolveDbId = useDatabaseStore(state =&gt; state.resolveDbId). The database store (store.ts) does NOT define resolveDbId in its state — it's a TenantContext member. So state.resolveDbId is ...</t>
        </is>
      </c>
      <c r="C43" s="2" t="inlineStr">
        <is>
          <t>Triage / core</t>
        </is>
      </c>
      <c r="D43" s="4" t="inlineStr">
        <is>
          <t>P0</t>
        </is>
      </c>
      <c r="E43" s="5" t="inlineStr">
        <is>
          <t>Done</t>
        </is>
      </c>
      <c r="F43" s="2" t="inlineStr">
        <is>
          <t>ground-zero-triage.md:678</t>
        </is>
      </c>
      <c r="G43" s="2" t="inlineStr"/>
      <c r="H43" s="24" t="inlineStr">
        <is>
          <t>L3</t>
        </is>
      </c>
      <c r="I43" t="inlineStr">
        <is>
          <t>shells &amp; navigation — WorkHubShell</t>
        </is>
      </c>
    </row>
    <row r="44">
      <c r="A44" s="2" t="inlineStr">
        <is>
          <t>WORKHUB-USABLE</t>
        </is>
      </c>
      <c r="B44" s="3" t="inlineStr">
        <is>
          <t>consolidation; refine + verify the existing specs, they haven't landed:</t>
        </is>
      </c>
      <c r="C44" s="2" t="inlineStr">
        <is>
          <t>Triage / core</t>
        </is>
      </c>
      <c r="D44" s="4" t="inlineStr">
        <is>
          <t>P0</t>
        </is>
      </c>
      <c r="E44" s="2" t="inlineStr">
        <is>
          <t>Open</t>
        </is>
      </c>
      <c r="F44" s="2" t="inlineStr">
        <is>
          <t>ground-zero-triage.md:617</t>
        </is>
      </c>
      <c r="G44" s="2" t="inlineStr"/>
      <c r="H44" s="24" t="inlineStr">
        <is>
          <t>L3</t>
        </is>
      </c>
      <c r="I44" t="inlineStr">
        <is>
          <t>shells &amp; navigation — WorkHubShell</t>
        </is>
      </c>
    </row>
    <row r="45">
      <c r="A45" s="2" t="inlineStr">
        <is>
          <t>—</t>
        </is>
      </c>
      <c r="B45" s="3" t="inlineStr">
        <is>
          <t>OCC-8-DIRTYBASE-LIFECYCLE (self-collision) 🟥🟥 — the engine is conflicting with its own earlier save.</t>
        </is>
      </c>
      <c r="C45" s="2" t="inlineStr">
        <is>
          <t>Triage / core</t>
        </is>
      </c>
      <c r="D45" s="4" t="inlineStr">
        <is>
          <t>P0</t>
        </is>
      </c>
      <c r="E45" s="2" t="inlineStr">
        <is>
          <t>Open</t>
        </is>
      </c>
      <c r="F45" s="2" t="inlineStr">
        <is>
          <t>ground-zero-triage.md:134</t>
        </is>
      </c>
      <c r="G45" s="2" t="inlineStr"/>
      <c r="H45" s="23" t="inlineStr">
        <is>
          <t>L1</t>
        </is>
      </c>
      <c r="I45" t="inlineStr">
        <is>
          <t>ERP core — mixed triage</t>
        </is>
      </c>
    </row>
    <row r="46">
      <c r="A46" s="2" t="inlineStr">
        <is>
          <t>—</t>
        </is>
      </c>
      <c r="B46" s="3" t="inlineStr">
        <is>
          <t>OCC-13-CONFLICT-DEADLOCK — THE ACTUAL ROOT CAUSE 🟥🟥🟥 (Planner, 2026-07-27, after OCC-9/11/12 all failed to change the behaviour)</t>
        </is>
      </c>
      <c r="C46" s="2" t="inlineStr">
        <is>
          <t>Triage / core</t>
        </is>
      </c>
      <c r="D46" s="4" t="inlineStr">
        <is>
          <t>P0</t>
        </is>
      </c>
      <c r="E46" s="2" t="inlineStr">
        <is>
          <t>Open</t>
        </is>
      </c>
      <c r="F46" s="2" t="inlineStr">
        <is>
          <t>ground-zero-triage.md:198</t>
        </is>
      </c>
      <c r="G46" s="2" t="inlineStr"/>
      <c r="H46" s="23" t="inlineStr">
        <is>
          <t>L1</t>
        </is>
      </c>
      <c r="I46" t="inlineStr">
        <is>
          <t>ERP core — mixed triage</t>
        </is>
      </c>
    </row>
    <row r="47">
      <c r="A47" s="2" t="inlineStr">
        <is>
          <t>—</t>
        </is>
      </c>
      <c r="B47" s="3" t="inlineStr">
        <is>
          <t>OCC-14-RETURNED-TIMESTAMP-IS-NOT-THE-PERSISTED-ONE — THE GATE 🟥🟥🟥 (Planner, 2026-07-27, after OCC-9/11/12/13 all landed without changing the symptom)</t>
        </is>
      </c>
      <c r="C47" s="2" t="inlineStr">
        <is>
          <t>Triage / core</t>
        </is>
      </c>
      <c r="D47" s="4" t="inlineStr">
        <is>
          <t>P0</t>
        </is>
      </c>
      <c r="E47" s="2" t="inlineStr">
        <is>
          <t>Open</t>
        </is>
      </c>
      <c r="F47" s="2" t="inlineStr">
        <is>
          <t>ground-zero-triage.md:213</t>
        </is>
      </c>
      <c r="G47" s="2" t="inlineStr"/>
      <c r="H47" s="23" t="inlineStr">
        <is>
          <t>L1</t>
        </is>
      </c>
      <c r="I47" t="inlineStr">
        <is>
          <t>ERP core — mixed triage</t>
        </is>
      </c>
    </row>
    <row r="48">
      <c r="A48" s="2" t="inlineStr">
        <is>
          <t>—</t>
        </is>
      </c>
      <c r="B48" s="3" t="inlineStr">
        <is>
          <t>LEAVE-MODEL-DUPLICATION (found while specing the above — fix this FIRST, it blocks the rest) — there are two parallel, unconnected representations of "who is off":</t>
        </is>
      </c>
      <c r="C48" s="2" t="inlineStr">
        <is>
          <t>Triage / core</t>
        </is>
      </c>
      <c r="D48" s="4" t="inlineStr">
        <is>
          <t>P0</t>
        </is>
      </c>
      <c r="E48" s="2" t="inlineStr">
        <is>
          <t>Open</t>
        </is>
      </c>
      <c r="F48" s="2" t="inlineStr">
        <is>
          <t>ground-zero-triage.md:332</t>
        </is>
      </c>
      <c r="G48" s="2" t="inlineStr"/>
      <c r="H48" s="23" t="inlineStr">
        <is>
          <t>L1</t>
        </is>
      </c>
      <c r="I48" t="inlineStr">
        <is>
          <t>ERP core — mixed triage</t>
        </is>
      </c>
    </row>
    <row r="49">
      <c r="A49" s="2" t="inlineStr">
        <is>
          <t>—</t>
        </is>
      </c>
      <c r="B49" s="3" t="inlineStr">
        <is>
          <t>Tasks: file upload still appears to target Google Drive → crashes the app. Drive-out regression; must route to Blob (uploadFileAction), never /api/drive.</t>
        </is>
      </c>
      <c r="C49" s="2" t="inlineStr">
        <is>
          <t>Triage / core</t>
        </is>
      </c>
      <c r="D49" s="4" t="inlineStr">
        <is>
          <t>P0</t>
        </is>
      </c>
      <c r="E49" s="5" t="inlineStr">
        <is>
          <t>Done</t>
        </is>
      </c>
      <c r="F49" s="2" t="inlineStr">
        <is>
          <t>ground-zero-triage.md:921</t>
        </is>
      </c>
      <c r="G49" s="2" t="inlineStr"/>
      <c r="H49" s="23" t="inlineStr">
        <is>
          <t>L1</t>
        </is>
      </c>
      <c r="I49" t="inlineStr">
        <is>
          <t>ERP core — mixed triage</t>
        </is>
      </c>
    </row>
    <row r="50">
      <c r="A50" s="2" t="inlineStr">
        <is>
          <t>CAL-2</t>
        </is>
      </c>
      <c r="B50" s="3" t="inlineStr">
        <is>
          <t>turn GET /api/calendar/events into a date-ranged, tenant-scoped fan-out returning the normalized envelope; adapters for event + google first (parity), behind a sources param. Adapter registry pattern so later sources are additive.</t>
        </is>
      </c>
      <c r="C50" s="2" t="inlineStr">
        <is>
          <t>Calendar</t>
        </is>
      </c>
      <c r="D50" s="7" t="inlineStr">
        <is>
          <t>P1</t>
        </is>
      </c>
      <c r="E50" s="2" t="inlineStr">
        <is>
          <t>Open</t>
        </is>
      </c>
      <c r="F50" s="2" t="inlineStr">
        <is>
          <t>coral-calendar.md:66</t>
        </is>
      </c>
      <c r="G50" s="2" t="inlineStr"/>
      <c r="H50" s="22" t="inlineStr">
        <is>
          <t>L2</t>
        </is>
      </c>
      <c r="I50" t="inlineStr">
        <is>
          <t>Calendar module</t>
        </is>
      </c>
    </row>
    <row r="51">
      <c r="A51" s="2" t="inlineStr">
        <is>
          <t>CAL-3</t>
        </is>
      </c>
      <c r="B51" s="3" t="inlineStr">
        <is>
          <t>adapters for shifts (ScheduledShift) and approved absences (TimeOffRequest) — Florin's original "connect the scheduler to the calendar" ask — then tasks (due), projects (start/end/milestones), financials (invoice due, quote expiry). Each is a toggleable layer in the existing sidebar with its own ...</t>
        </is>
      </c>
      <c r="C51" s="2" t="inlineStr">
        <is>
          <t>Calendar</t>
        </is>
      </c>
      <c r="D51" s="7" t="inlineStr">
        <is>
          <t>P1</t>
        </is>
      </c>
      <c r="E51" s="2" t="inlineStr">
        <is>
          <t>Open</t>
        </is>
      </c>
      <c r="F51" s="2" t="inlineStr">
        <is>
          <t>coral-calendar.md:67</t>
        </is>
      </c>
      <c r="G51" s="2" t="inlineStr"/>
      <c r="H51" s="22" t="inlineStr">
        <is>
          <t>L2</t>
        </is>
      </c>
      <c r="I51" t="inlineStr">
        <is>
          <t>Calendar module</t>
        </is>
      </c>
    </row>
    <row r="52">
      <c r="A52" s="2" t="inlineStr">
        <is>
          <t>CAL-4</t>
        </is>
      </c>
      <c r="B52" s="3" t="inlineStr">
        <is>
          <t>wire deeplink so every entry opens its real record (shift → shift editor, absence → leave request, invoice → invoice, task → task panel). Tenant-check on open. Also fix CalendarView.tsx:85-89 (the database view's console.log dead-end). Cheapest big win: the calendar becomes a navigation surface.</t>
        </is>
      </c>
      <c r="C52" s="2" t="inlineStr">
        <is>
          <t>Calendar</t>
        </is>
      </c>
      <c r="D52" s="7" t="inlineStr">
        <is>
          <t>P1</t>
        </is>
      </c>
      <c r="E52" s="2" t="inlineStr">
        <is>
          <t>Open</t>
        </is>
      </c>
      <c r="F52" s="2" t="inlineStr">
        <is>
          <t>coral-calendar.md:68</t>
        </is>
      </c>
      <c r="G52" s="2" t="inlineStr"/>
      <c r="H52" s="22" t="inlineStr">
        <is>
          <t>L2</t>
        </is>
      </c>
      <c r="I52" t="inlineStr">
        <is>
          <t>Calendar module</t>
        </is>
      </c>
    </row>
    <row r="53">
      <c r="A53" s="2" t="inlineStr">
        <is>
          <t>ATT-4</t>
        </is>
      </c>
      <c r="B53" s="3" t="inlineStr">
        <is>
          <t>the success toast lists the attached filenames, and the sent-record/audit entry stores the attachment list. Then "did the client get the plan?" is answerable from the record instead of from memory.</t>
        </is>
      </c>
      <c r="C53" s="2" t="inlineStr">
        <is>
          <t>Email attachments</t>
        </is>
      </c>
      <c r="D53" s="7" t="inlineStr">
        <is>
          <t>P1</t>
        </is>
      </c>
      <c r="E53" s="2" t="inlineStr">
        <is>
          <t>Open</t>
        </is>
      </c>
      <c r="F53" s="2" t="inlineStr">
        <is>
          <t>coral-email-attachments-bug.md:59</t>
        </is>
      </c>
      <c r="G53" s="2" t="inlineStr"/>
      <c r="H53" s="23" t="inlineStr">
        <is>
          <t>L1</t>
        </is>
      </c>
      <c r="I53" t="inlineStr">
        <is>
          <t>document engine — attachments</t>
        </is>
      </c>
    </row>
    <row r="54">
      <c r="A54" s="2" t="inlineStr">
        <is>
          <t>N2-RELATION-LINK-ICON</t>
        </is>
      </c>
      <c r="B54" s="3" t="inlineStr">
        <is>
          <t>Link-back icon on relation fields does not route on many surfaces</t>
        </is>
      </c>
      <c r="C54" s="2" t="inlineStr">
        <is>
          <t>Engine · Relations</t>
        </is>
      </c>
      <c r="D54" s="7" t="inlineStr">
        <is>
          <t>P1</t>
        </is>
      </c>
      <c r="E54" s="2" t="inlineStr">
        <is>
          <t>Open</t>
        </is>
      </c>
      <c r="F54" s="2" t="inlineStr">
        <is>
          <t>no spec yet</t>
        </is>
      </c>
      <c r="G54" s="2" t="inlineStr">
        <is>
          <t>Not yet investigated</t>
        </is>
      </c>
      <c r="H54" s="24" t="inlineStr">
        <is>
          <t>L3</t>
        </is>
      </c>
      <c r="I54" t="inlineStr">
        <is>
          <t>grid</t>
        </is>
      </c>
    </row>
    <row r="55">
      <c r="A55" s="2" t="inlineStr">
        <is>
          <t>PROT-1</t>
        </is>
      </c>
      <c r="B55" s="3" t="inlineStr">
        <is>
          <t>a Protest action on the purchase-invoice record detail (and as a row action in the expenses grid). Opens a small dialog:</t>
        </is>
      </c>
      <c r="C55" s="2" t="inlineStr">
        <is>
          <t>Finance · Invoice protest</t>
        </is>
      </c>
      <c r="D55" s="7" t="inlineStr">
        <is>
          <t>P1</t>
        </is>
      </c>
      <c r="E55" s="2" t="inlineStr">
        <is>
          <t>Open</t>
        </is>
      </c>
      <c r="F55" s="2" t="inlineStr">
        <is>
          <t>coral-invoice-protest.md:19</t>
        </is>
      </c>
      <c r="G55" s="2" t="inlineStr"/>
      <c r="H55" s="24" t="inlineStr">
        <is>
          <t>L3</t>
        </is>
      </c>
      <c r="I55" t="inlineStr">
        <is>
          <t>Finance — invoice protest</t>
        </is>
      </c>
    </row>
    <row r="56">
      <c r="A56" s="2" t="inlineStr">
        <is>
          <t>PROT-2</t>
        </is>
      </c>
      <c r="B56" s="3" t="inlineStr">
        <is>
          <t>resolve in this order: supplier record's language property → tenant default → nl. Support NL / FR / EN (add DE only if a supplier needs it). If the supplier has no language set, default to NL and show which language was chosen in the modal, so a wrong pick is visible before sending, not after. Be...</t>
        </is>
      </c>
      <c r="C56" s="2" t="inlineStr">
        <is>
          <t>Finance · Invoice protest</t>
        </is>
      </c>
      <c r="D56" s="7" t="inlineStr">
        <is>
          <t>P1</t>
        </is>
      </c>
      <c r="E56" s="2" t="inlineStr">
        <is>
          <t>Open</t>
        </is>
      </c>
      <c r="F56" s="2" t="inlineStr">
        <is>
          <t>coral-invoice-protest.md:23</t>
        </is>
      </c>
      <c r="G56" s="2" t="inlineStr"/>
      <c r="H56" s="24" t="inlineStr">
        <is>
          <t>L3</t>
        </is>
      </c>
      <c r="I56" t="inlineStr">
        <is>
          <t>Finance — invoice protest</t>
        </is>
      </c>
    </row>
    <row r="57">
      <c r="A57" s="2" t="inlineStr">
        <is>
          <t>PROT-3</t>
        </is>
      </c>
      <c r="B57" s="3" t="inlineStr">
        <is>
          <t>one template per language (NL / FR / EN), in messages/.json (not hardcoded), composed of: salutation → statement of protest with invoice number, invoice date, amount, supplier name → the reason paragraph (from PROT-1) → free-text detail → what is expected (a credit note AND a corrected invoice — ...</t>
        </is>
      </c>
      <c r="C57" s="2" t="inlineStr">
        <is>
          <t>Finance · Invoice protest</t>
        </is>
      </c>
      <c r="D57" s="7" t="inlineStr">
        <is>
          <t>P1</t>
        </is>
      </c>
      <c r="E57" s="2" t="inlineStr">
        <is>
          <t>Open</t>
        </is>
      </c>
      <c r="F57" s="2" t="inlineStr">
        <is>
          <t>coral-invoice-protest.md:24</t>
        </is>
      </c>
      <c r="G57" s="2" t="inlineStr"/>
      <c r="H57" s="24" t="inlineStr">
        <is>
          <t>L3</t>
        </is>
      </c>
      <c r="I57" t="inlineStr">
        <is>
          <t>Finance — invoice protest</t>
        </is>
      </c>
    </row>
    <row r="58">
      <c r="A58" s="2" t="inlineStr">
        <is>
          <t>PROT-4</t>
        </is>
      </c>
      <c r="B58" s="3" t="inlineStr">
        <is>
          <t>attach the original invoice document (the stored purchase-invoice PDF / scan / Peppol-rendered PDF) to the outgoing mail. Serve via the authenticated /api/files/&lt;key&gt; route — never a bare blob key or public URL (same trap as RECEIPT-BONNETJE-LINK). If the record has no stored document, allow send...</t>
        </is>
      </c>
      <c r="C58" s="2" t="inlineStr">
        <is>
          <t>Finance · Invoice protest</t>
        </is>
      </c>
      <c r="D58" s="7" t="inlineStr">
        <is>
          <t>P1</t>
        </is>
      </c>
      <c r="E58" s="2" t="inlineStr">
        <is>
          <t>Open</t>
        </is>
      </c>
      <c r="F58" s="2" t="inlineStr">
        <is>
          <t>coral-invoice-protest.md:29</t>
        </is>
      </c>
      <c r="G58" s="2" t="inlineStr"/>
      <c r="H58" s="24" t="inlineStr">
        <is>
          <t>L3</t>
        </is>
      </c>
      <c r="I58" t="inlineStr">
        <is>
          <t>Finance — invoice protest</t>
        </is>
      </c>
    </row>
    <row r="59">
      <c r="A59" s="2" t="inlineStr">
        <is>
          <t>PROT-6</t>
        </is>
      </c>
      <c r="B59" s="3" t="inlineStr">
        <is>
          <t>on send, write to the invoice record: protestStatus (geprotesteerd), protestedAt, protestReason, protestedBy, disputedAmount (if partial), and a link/id to the sent mail. Surface a "Geprotesteerd" badge in the expenses grid and on the record. Additive properties only (pd.md). Also: exclude protes...</t>
        </is>
      </c>
      <c r="C59" s="2" t="inlineStr">
        <is>
          <t>Finance · Invoice protest</t>
        </is>
      </c>
      <c r="D59" s="7" t="inlineStr">
        <is>
          <t>P1</t>
        </is>
      </c>
      <c r="E59" s="2" t="inlineStr">
        <is>
          <t>Open</t>
        </is>
      </c>
      <c r="F59" s="2" t="inlineStr">
        <is>
          <t>coral-invoice-protest.md:31</t>
        </is>
      </c>
      <c r="G59" s="2" t="inlineStr"/>
      <c r="H59" s="24" t="inlineStr">
        <is>
          <t>L3</t>
        </is>
      </c>
      <c r="I59" t="inlineStr">
        <is>
          <t>Finance — invoice protest</t>
        </is>
      </c>
    </row>
    <row r="60">
      <c r="A60" s="2" t="inlineStr">
        <is>
          <t>PI-ART-1</t>
        </is>
      </c>
      <c r="B60" s="3" t="inlineStr">
        <is>
          <t>each purchase-invoice line description becomes a searchable field against db-articles (reuse the quotation engine's existing article SearchableSelect — do not build a second search). Typing/opening a line offers matching articles; fuzzy match on description, with supplier + unit as tie-breakers.</t>
        </is>
      </c>
      <c r="C60" s="2" t="inlineStr">
        <is>
          <t>Finance · Purchase invoices</t>
        </is>
      </c>
      <c r="D60" s="7" t="inlineStr">
        <is>
          <t>P1</t>
        </is>
      </c>
      <c r="E60" s="2" t="inlineStr">
        <is>
          <t>Open</t>
        </is>
      </c>
      <c r="F60" s="2" t="inlineStr">
        <is>
          <t>coral-purchase-invoice-lines.md:32</t>
        </is>
      </c>
      <c r="G60" s="2" t="inlineStr"/>
      <c r="H60" s="24" t="inlineStr">
        <is>
          <t>L3</t>
        </is>
      </c>
      <c r="I60" t="inlineStr">
        <is>
          <t>Finance — purchase invoices</t>
        </is>
      </c>
    </row>
    <row r="61">
      <c r="A61" s="2" t="inlineStr">
        <is>
          <t>PI-ART-2</t>
        </is>
      </c>
      <c r="B61" s="3" t="inlineStr">
        <is>
          <t>when a line matches an existing article, the modal shows: the article (name, unit, current purchase price, last-updated date) beside the invoice line (description, qty, unit, unit price, VAT), and offers:</t>
        </is>
      </c>
      <c r="C61" s="2" t="inlineStr">
        <is>
          <t>Finance · Purchase invoices</t>
        </is>
      </c>
      <c r="D61" s="7" t="inlineStr">
        <is>
          <t>P1</t>
        </is>
      </c>
      <c r="E61" s="2" t="inlineStr">
        <is>
          <t>Open</t>
        </is>
      </c>
      <c r="F61" s="2" t="inlineStr">
        <is>
          <t>coral-purchase-invoice-lines.md:33</t>
        </is>
      </c>
      <c r="G61" s="2" t="inlineStr"/>
      <c r="H61" s="24" t="inlineStr">
        <is>
          <t>L3</t>
        </is>
      </c>
      <c r="I61" t="inlineStr">
        <is>
          <t>Finance — purchase invoices</t>
        </is>
      </c>
    </row>
    <row r="62">
      <c r="A62" s="2" t="inlineStr">
        <is>
          <t>PI-ART-3</t>
        </is>
      </c>
      <c r="B62" s="3" t="inlineStr">
        <is>
          <t>when no match exists, "Add to article library" directly from the line (and from the modal). Prefill from the invoice line: description → name, unit, unit price → purchase price, VAT rate, supplier (from the invoice), artikelgroep (let the user pick; suggest from the supplier's usual group). Creat...</t>
        </is>
      </c>
      <c r="C62" s="2" t="inlineStr">
        <is>
          <t>Finance · Purchase invoices</t>
        </is>
      </c>
      <c r="D62" s="7" t="inlineStr">
        <is>
          <t>P1</t>
        </is>
      </c>
      <c r="E62" s="2" t="inlineStr">
        <is>
          <t>Open</t>
        </is>
      </c>
      <c r="F62" s="2" t="inlineStr">
        <is>
          <t>coral-purchase-invoice-lines.md:38</t>
        </is>
      </c>
      <c r="G62" s="2" t="inlineStr"/>
      <c r="H62" s="24" t="inlineStr">
        <is>
          <t>L3</t>
        </is>
      </c>
      <c r="I62" t="inlineStr">
        <is>
          <t>Finance — purchase invoices</t>
        </is>
      </c>
    </row>
    <row r="63">
      <c r="A63" s="2" t="inlineStr">
        <is>
          <t>PI-ART-6</t>
        </is>
      </c>
      <c r="B63" s="3" t="inlineStr">
        <is>
          <t>when an article is pulled into a quotation line, compare the article's stored price against the most recently observed purchase price (preferred supplier, or the cheapest — see below). If they differ, show an inline, non-blocking indicator on the line: "Library €12.40 · last bought €13.10 (+5.6%)...</t>
        </is>
      </c>
      <c r="C63" s="2" t="inlineStr">
        <is>
          <t>Finance · Purchase invoices</t>
        </is>
      </c>
      <c r="D63" s="7" t="inlineStr">
        <is>
          <t>P1</t>
        </is>
      </c>
      <c r="E63" s="2" t="inlineStr">
        <is>
          <t>Open</t>
        </is>
      </c>
      <c r="F63" s="2" t="inlineStr">
        <is>
          <t>coral-purchase-invoice-lines.md:60</t>
        </is>
      </c>
      <c r="G63" s="2" t="inlineStr"/>
      <c r="H63" s="24" t="inlineStr">
        <is>
          <t>L3</t>
        </is>
      </c>
      <c r="I63" t="inlineStr">
        <is>
          <t>Finance — purchase invoices</t>
        </is>
      </c>
    </row>
    <row r="64">
      <c r="A64" s="2" t="inlineStr">
        <is>
          <t>TS-2</t>
        </is>
      </c>
      <c r="B64" s="3" t="inlineStr">
        <is>
          <t>(Florin, 2026-07-27: "I do want all crystallised in one working page… reporting, filtering and approval flow added to the timesheets page without uselessly creating others.")</t>
        </is>
      </c>
      <c r="C64" s="2" t="inlineStr">
        <is>
          <t>HR · Timesheet reporting</t>
        </is>
      </c>
      <c r="D64" s="7" t="inlineStr">
        <is>
          <t>P1</t>
        </is>
      </c>
      <c r="E64" s="2" t="inlineStr">
        <is>
          <t>Open</t>
        </is>
      </c>
      <c r="F64" s="2" t="inlineStr">
        <is>
          <t>coral-timesheet-reporting.md:32</t>
        </is>
      </c>
      <c r="G64" s="2" t="inlineStr"/>
      <c r="H64" s="24" t="inlineStr">
        <is>
          <t>L3</t>
        </is>
      </c>
      <c r="I64" t="inlineStr">
        <is>
          <t>HR — timesheets</t>
        </is>
      </c>
    </row>
    <row r="65">
      <c r="A65" s="2" t="inlineStr">
        <is>
          <t>TS-4</t>
        </is>
      </c>
      <c r="B65" s="3" t="inlineStr">
        <is>
          <t>from any filtered result:</t>
        </is>
      </c>
      <c r="C65" s="2" t="inlineStr">
        <is>
          <t>HR · Timesheet reporting</t>
        </is>
      </c>
      <c r="D65" s="7" t="inlineStr">
        <is>
          <t>P1</t>
        </is>
      </c>
      <c r="E65" s="2" t="inlineStr">
        <is>
          <t>Open</t>
        </is>
      </c>
      <c r="F65" s="2" t="inlineStr">
        <is>
          <t>coral-timesheet-reporting.md:60</t>
        </is>
      </c>
      <c r="G65" s="2" t="inlineStr"/>
      <c r="H65" s="24" t="inlineStr">
        <is>
          <t>L3</t>
        </is>
      </c>
      <c r="I65" t="inlineStr">
        <is>
          <t>HR — timesheets</t>
        </is>
      </c>
    </row>
    <row r="66">
      <c r="A66" s="2" t="inlineStr">
        <is>
          <t>TS-5</t>
        </is>
      </c>
      <c r="B66" s="3" t="inlineStr">
        <is>
          <t>ClockEntry.photos and ShiftAttachment are captured but not usable in bulk. Build: a gallery per entry/shift/project/period; thumbnails in the report row; bulk download as ZIP (per project or period); attach selected photos into the werkbon PDF (TS-4) as evidence; and push relevant photos through ...</t>
        </is>
      </c>
      <c r="C66" s="2" t="inlineStr">
        <is>
          <t>HR · Timesheet reporting</t>
        </is>
      </c>
      <c r="D66" s="7" t="inlineStr">
        <is>
          <t>P1</t>
        </is>
      </c>
      <c r="E66" s="2" t="inlineStr">
        <is>
          <t>Open</t>
        </is>
      </c>
      <c r="F66" s="2" t="inlineStr">
        <is>
          <t>coral-timesheet-reporting.md:65</t>
        </is>
      </c>
      <c r="G66" s="2" t="inlineStr"/>
      <c r="H66" s="24" t="inlineStr">
        <is>
          <t>L3</t>
        </is>
      </c>
      <c r="I66" t="inlineStr">
        <is>
          <t>HR — timesheets</t>
        </is>
      </c>
    </row>
    <row r="67">
      <c r="A67" s="2" t="inlineStr">
        <is>
          <t>TSP-2</t>
        </is>
      </c>
      <c r="B67" s="3" t="inlineStr">
        <is>
          <t>presets + custom range + worker/project/billable/source. Filter state lives in URL query params so a filtered view is shareable, survives refresh, and back/forward works. Debounce refetch.</t>
        </is>
      </c>
      <c r="C67" s="2" t="inlineStr">
        <is>
          <t>HR · Timesheets page</t>
        </is>
      </c>
      <c r="D67" s="7" t="inlineStr">
        <is>
          <t>P1</t>
        </is>
      </c>
      <c r="E67" s="2" t="inlineStr">
        <is>
          <t>Open</t>
        </is>
      </c>
      <c r="F67" s="2" t="inlineStr">
        <is>
          <t>coral-timesheets-page.md:65</t>
        </is>
      </c>
      <c r="G67" s="2" t="inlineStr"/>
      <c r="H67" s="24" t="inlineStr">
        <is>
          <t>L3</t>
        </is>
      </c>
      <c r="I67" t="inlineStr">
        <is>
          <t>HR — timesheets page</t>
        </is>
      </c>
    </row>
    <row r="68">
      <c r="A68" s="2" t="inlineStr">
        <is>
          <t>TSP-3</t>
        </is>
      </c>
      <c r="B68" s="3" t="inlineStr">
        <is>
          <t>cards from summary; chips set approvalStatus. The pending count badge also appears on the TIMESHEETS entry in hrTabs — this is the forcing function that stops approvals being silently forgotten (pd.md).</t>
        </is>
      </c>
      <c r="C68" s="2" t="inlineStr">
        <is>
          <t>HR · Timesheets page</t>
        </is>
      </c>
      <c r="D68" s="7" t="inlineStr">
        <is>
          <t>P1</t>
        </is>
      </c>
      <c r="E68" s="2" t="inlineStr">
        <is>
          <t>Open</t>
        </is>
      </c>
      <c r="F68" s="2" t="inlineStr">
        <is>
          <t>coral-timesheets-page.md:66</t>
        </is>
      </c>
      <c r="G68" s="2" t="inlineStr"/>
      <c r="H68" s="24" t="inlineStr">
        <is>
          <t>L3</t>
        </is>
      </c>
      <c r="I68" t="inlineStr">
        <is>
          <t>HR — timesheets page</t>
        </is>
      </c>
    </row>
    <row r="69">
      <c r="A69" s="2" t="inlineStr">
        <is>
          <t>TSP-4</t>
        </is>
      </c>
      <c r="B69" s="3" t="inlineStr">
        <is>
          <t>toggle flat / by worker / by project using rollups.byWorker / rollups.byProject; expandable groups; grand total row. This is the "reports page" capability, delivered as a view state.</t>
        </is>
      </c>
      <c r="C69" s="2" t="inlineStr">
        <is>
          <t>HR · Timesheets page</t>
        </is>
      </c>
      <c r="D69" s="7" t="inlineStr">
        <is>
          <t>P1</t>
        </is>
      </c>
      <c r="E69" s="2" t="inlineStr">
        <is>
          <t>Open</t>
        </is>
      </c>
      <c r="F69" s="2" t="inlineStr">
        <is>
          <t>coral-timesheets-page.md:67</t>
        </is>
      </c>
      <c r="G69" s="2" t="inlineStr"/>
      <c r="H69" s="24" t="inlineStr">
        <is>
          <t>L3</t>
        </is>
      </c>
      <c r="I69" t="inlineStr">
        <is>
          <t>HR — timesheets page</t>
        </is>
      </c>
    </row>
    <row r="70">
      <c r="A70" s="2" t="inlineStr">
        <is>
          <t>TSP-6</t>
        </is>
      </c>
      <c r="B70" s="3" t="inlineStr">
        <is>
          <t>Export dropdown calls /api/hr/timesheet-export with the current filter + grouping. XLSX already works — wire it. Add CSV (papaparse, installed) and PDF werkbon/prestatiestaat (@react-pdf/renderer, the established pattern — see InvoicePDFTemplate). The exported file states the active filter set in...</t>
        </is>
      </c>
      <c r="C70" s="2" t="inlineStr">
        <is>
          <t>HR · Timesheets page</t>
        </is>
      </c>
      <c r="D70" s="7" t="inlineStr">
        <is>
          <t>P1</t>
        </is>
      </c>
      <c r="E70" s="2" t="inlineStr">
        <is>
          <t>Open</t>
        </is>
      </c>
      <c r="F70" s="2" t="inlineStr">
        <is>
          <t>coral-timesheets-page.md:69</t>
        </is>
      </c>
      <c r="G70" s="2" t="inlineStr"/>
      <c r="H70" s="24" t="inlineStr">
        <is>
          <t>L3</t>
        </is>
      </c>
      <c r="I70" t="inlineStr">
        <is>
          <t>HR — timesheets page</t>
        </is>
      </c>
    </row>
    <row r="71">
      <c r="A71" s="2" t="inlineStr">
        <is>
          <t>TSP-B3</t>
        </is>
      </c>
      <c r="B71" s="3" t="inlineStr">
        <is>
          <t>the Period control must include a custom date-range picker, not just presets. Reuse the existing src/components/ui/CustomDatePicker.tsx — do not introduce another calendar component or a third date-picking pattern. Selecting a range sets from/to in the URL params that already drive the API.</t>
        </is>
      </c>
      <c r="C71" s="2" t="inlineStr">
        <is>
          <t>HR · Timesheets page</t>
        </is>
      </c>
      <c r="D71" s="7" t="inlineStr">
        <is>
          <t>P1</t>
        </is>
      </c>
      <c r="E71" s="2" t="inlineStr">
        <is>
          <t>Open</t>
        </is>
      </c>
      <c r="F71" s="2" t="inlineStr">
        <is>
          <t>coral-timesheets-page.md:59</t>
        </is>
      </c>
      <c r="G71" s="2" t="inlineStr"/>
      <c r="H71" s="24" t="inlineStr">
        <is>
          <t>L3</t>
        </is>
      </c>
      <c r="I71" t="inlineStr">
        <is>
          <t>HR — timesheets page</t>
        </is>
      </c>
    </row>
    <row r="72">
      <c r="A72" s="2" t="inlineStr">
        <is>
          <t>MEM-2</t>
        </is>
      </c>
      <c r="B72" s="3" t="inlineStr"/>
      <c r="C72" s="2" t="inlineStr">
        <is>
          <t>Performance · Memory</t>
        </is>
      </c>
      <c r="D72" s="7" t="inlineStr">
        <is>
          <t>P1</t>
        </is>
      </c>
      <c r="E72" s="2" t="inlineStr">
        <is>
          <t>Open</t>
        </is>
      </c>
      <c r="F72" s="2" t="inlineStr">
        <is>
          <t>coral-memory-investigation.md:40</t>
        </is>
      </c>
      <c r="G72" s="2" t="inlineStr"/>
      <c r="H72" s="23" t="inlineStr">
        <is>
          <t>L1</t>
        </is>
      </c>
      <c r="I72" t="inlineStr">
        <is>
          <t>read path — pageIndex, hydration</t>
        </is>
      </c>
    </row>
    <row r="73">
      <c r="A73" s="2" t="inlineStr">
        <is>
          <t>MEM-3</t>
        </is>
      </c>
      <c r="B73" s="3" t="inlineStr">
        <is>
          <t>(the root fix)</t>
        </is>
      </c>
      <c r="C73" s="2" t="inlineStr">
        <is>
          <t>Performance · Memory</t>
        </is>
      </c>
      <c r="D73" s="7" t="inlineStr">
        <is>
          <t>P1</t>
        </is>
      </c>
      <c r="E73" s="6" t="inlineStr">
        <is>
          <t>In progress</t>
        </is>
      </c>
      <c r="F73" s="2" t="inlineStr">
        <is>
          <t>coral-memory-investigation.md:43</t>
        </is>
      </c>
      <c r="G73" s="2" t="inlineStr"/>
      <c r="H73" s="23" t="inlineStr">
        <is>
          <t>L1</t>
        </is>
      </c>
      <c r="I73" t="inlineStr">
        <is>
          <t>read path — pageIndex, hydration</t>
        </is>
      </c>
    </row>
    <row r="74">
      <c r="A74" s="2" t="inlineStr">
        <is>
          <t>MEM-3b</t>
        </is>
      </c>
      <c r="B74" s="3" t="inlineStr">
        <is>
          <t>SPLIT THE SERVER ACTION — schemas without pages + getDatabasePages(dbId)</t>
        </is>
      </c>
      <c r="C74" s="2" t="inlineStr">
        <is>
          <t>Performance · Memory</t>
        </is>
      </c>
      <c r="D74" s="7" t="inlineStr">
        <is>
          <t>P1</t>
        </is>
      </c>
      <c r="E74" s="2" t="inlineStr">
        <is>
          <t>Open</t>
        </is>
      </c>
      <c r="F74" s="2" t="inlineStr">
        <is>
          <t>coral-mem3-lazy-data.md</t>
        </is>
      </c>
      <c r="G74" s="2" t="inlineStr"/>
      <c r="H74" s="23" t="inlineStr">
        <is>
          <t>L1</t>
        </is>
      </c>
      <c r="I74" t="inlineStr">
        <is>
          <t>read path — pageIndex, hydration</t>
        </is>
      </c>
    </row>
    <row r="75">
      <c r="A75" s="2" t="inlineStr">
        <is>
          <t>MEM-3c</t>
        </is>
      </c>
      <c r="B75" s="3" t="inlineStr">
        <is>
          <t>LAZY-LOAD CONTENT PER DATABASE — behind a feature flag; the actual win</t>
        </is>
      </c>
      <c r="C75" s="2" t="inlineStr">
        <is>
          <t>Performance · Memory</t>
        </is>
      </c>
      <c r="D75" s="7" t="inlineStr">
        <is>
          <t>P1</t>
        </is>
      </c>
      <c r="E75" s="2" t="inlineStr">
        <is>
          <t>Open</t>
        </is>
      </c>
      <c r="F75" s="2" t="inlineStr">
        <is>
          <t>coral-mem3-lazy-data.md</t>
        </is>
      </c>
      <c r="G75" s="2" t="inlineStr"/>
      <c r="H75" s="23" t="inlineStr">
        <is>
          <t>L1</t>
        </is>
      </c>
      <c r="I75" t="inlineStr">
        <is>
          <t>read path — pageIndex, hydration</t>
        </is>
      </c>
    </row>
    <row r="76">
      <c r="A76" s="2" t="inlineStr">
        <is>
          <t>PROJ-2</t>
        </is>
      </c>
      <c r="B76" s="3" t="inlineStr">
        <is>
          <t>TASK-STATUS-CONSISTENCY — TWO LIVE SUBSYSTEMS (project t-* vs module opt-*), each with its own writers and automations. NOT drifted data. Unifying means moving creation paths, toggle, progress automation, quote-service, cockpit, detail view, declared options AND data together</t>
        </is>
      </c>
      <c r="C76" s="2" t="inlineStr">
        <is>
          <t>Projects</t>
        </is>
      </c>
      <c r="D76" s="7" t="inlineStr">
        <is>
          <t>P1</t>
        </is>
      </c>
      <c r="E76" s="19" t="inlineStr">
        <is>
          <t>Parked</t>
        </is>
      </c>
      <c r="F76" s="2" t="inlineStr">
        <is>
          <t>coral-project-module.md:30</t>
        </is>
      </c>
      <c r="G76" s="2" t="inlineStr">
        <is>
          <t>PARKED — scope corrected 2026-09-12, see coral-task-status-two-subsystems.md</t>
        </is>
      </c>
      <c r="H76" s="24" t="inlineStr">
        <is>
          <t>L3</t>
        </is>
      </c>
      <c r="I76" t="inlineStr">
        <is>
          <t>Projects</t>
        </is>
      </c>
    </row>
    <row r="77">
      <c r="A77" s="2" t="inlineStr">
        <is>
          <t>PROJ-3</t>
        </is>
      </c>
      <c r="B77" s="3" t="inlineStr">
        <is>
          <t>quoted = sum of ALL linked quotes + addendums (NOTE: the first-only .find bug is already FIXED — ProjectDetailView.tsx:192 now uses a plural linkedQuotations memo + forEach; verify rather than rebuild); invoiced = sum of connected invoice RECORDS (not vorderingenstaten) — this half is still open;...</t>
        </is>
      </c>
      <c r="C77" s="2" t="inlineStr">
        <is>
          <t>Projects</t>
        </is>
      </c>
      <c r="D77" s="7" t="inlineStr">
        <is>
          <t>P1</t>
        </is>
      </c>
      <c r="E77" s="2" t="inlineStr">
        <is>
          <t>Open</t>
        </is>
      </c>
      <c r="F77" s="2" t="inlineStr">
        <is>
          <t>coral-project-module.md:31</t>
        </is>
      </c>
      <c r="G77" s="2" t="inlineStr"/>
      <c r="H77" s="24" t="inlineStr">
        <is>
          <t>L3</t>
        </is>
      </c>
      <c r="I77" t="inlineStr">
        <is>
          <t>Projects</t>
        </is>
      </c>
    </row>
    <row r="78">
      <c r="A78" s="2" t="inlineStr">
        <is>
          <t>PROJ-5</t>
        </is>
      </c>
      <c r="B78" s="3" t="inlineStr">
        <is>
          <t>finish ProjectCockpit into the command-center view: the live margin (quoted vs realized), revenue + cost ladders (with committed cost), progress %, budget-spent %, doc-status summary, crew-on-project. Match a real "is this project healthy" glance. (Reconfirm the layout with Florin — he flagged th...</t>
        </is>
      </c>
      <c r="C78" s="2" t="inlineStr">
        <is>
          <t>Projects</t>
        </is>
      </c>
      <c r="D78" s="7" t="inlineStr">
        <is>
          <t>P1</t>
        </is>
      </c>
      <c r="E78" s="2" t="inlineStr">
        <is>
          <t>Open</t>
        </is>
      </c>
      <c r="F78" s="2" t="inlineStr">
        <is>
          <t>coral-project-module.md:33</t>
        </is>
      </c>
      <c r="G78" s="2" t="inlineStr"/>
      <c r="H78" s="24" t="inlineStr">
        <is>
          <t>L3</t>
        </is>
      </c>
      <c r="I78" t="inlineStr">
        <is>
          <t>Projects</t>
        </is>
      </c>
    </row>
    <row r="79">
      <c r="A79" s="2" t="inlineStr">
        <is>
          <t>PROJ-6</t>
        </is>
      </c>
      <c r="B79" s="3" t="inlineStr">
        <is>
          <t>surface on the project: scheduled shifts (who's assigned, when) + actual clocked labour hours &amp; cost vs quoted labour (data already aggregated: actualLaborHours, quotationFinancials.avgLabourRate). Ties the WorkHub/scheduler to the project (the WorkHub↔project link Florin has long wanted).</t>
        </is>
      </c>
      <c r="C79" s="2" t="inlineStr">
        <is>
          <t>Projects</t>
        </is>
      </c>
      <c r="D79" s="7" t="inlineStr">
        <is>
          <t>P1</t>
        </is>
      </c>
      <c r="E79" s="2" t="inlineStr">
        <is>
          <t>Open</t>
        </is>
      </c>
      <c r="F79" s="2" t="inlineStr">
        <is>
          <t>coral-project-module.md:34</t>
        </is>
      </c>
      <c r="G79" s="2" t="inlineStr"/>
      <c r="H79" s="24" t="inlineStr">
        <is>
          <t>L3</t>
        </is>
      </c>
      <c r="I79" t="inlineStr">
        <is>
          <t>Projects</t>
        </is>
      </c>
    </row>
    <row r="80">
      <c r="A80" s="2" t="inlineStr">
        <is>
          <t>RCPT-L4b-3</t>
        </is>
      </c>
      <c r="B80" s="3" t="inlineStr">
        <is>
          <t>replace Done with the scan's own verdict: Klaar (green) or Na te kijken — &lt;reviewReason&gt; (amber, e.g. "Bedragen komen niet overeen", "Ontbrekende velden"), Mislukt + error (red). The data is already in the scan response; it's the difference between "something happened" and "this one needs your ey...</t>
        </is>
      </c>
      <c r="C80" s="2" t="inlineStr">
        <is>
          <t>Scan · Receipt bulk</t>
        </is>
      </c>
      <c r="D80" s="7" t="inlineStr">
        <is>
          <t>P1</t>
        </is>
      </c>
      <c r="E80" s="5" t="inlineStr">
        <is>
          <t>Done</t>
        </is>
      </c>
      <c r="F80" s="2" t="inlineStr">
        <is>
          <t>coral-receipt-bulk.md:79</t>
        </is>
      </c>
      <c r="G80" s="2" t="inlineStr"/>
      <c r="H80" s="24" t="inlineStr">
        <is>
          <t>L3</t>
        </is>
      </c>
      <c r="I80" t="inlineStr">
        <is>
          <t>Expenses — receipts</t>
        </is>
      </c>
    </row>
    <row r="81">
      <c r="A81" s="2" t="inlineStr">
        <is>
          <t>RCPT-L4b-4</t>
        </is>
      </c>
      <c r="B81" s="3" t="inlineStr">
        <is>
          <t>when all jobs finish, show a one-line summary and a primary button "Bekijk in Inbox (N)" which closes the modal and lands on the filtered Inbox view. Do not auto-close — the per-file outcomes are the point of the screen (pd.md: the system surfaces, the user decides).</t>
        </is>
      </c>
      <c r="C81" s="2" t="inlineStr">
        <is>
          <t>Scan · Receipt bulk</t>
        </is>
      </c>
      <c r="D81" s="7" t="inlineStr">
        <is>
          <t>P1</t>
        </is>
      </c>
      <c r="E81" s="5" t="inlineStr">
        <is>
          <t>Done</t>
        </is>
      </c>
      <c r="F81" s="2" t="inlineStr">
        <is>
          <t>coral-receipt-bulk.md:80</t>
        </is>
      </c>
      <c r="G81" s="2" t="inlineStr"/>
      <c r="H81" s="24" t="inlineStr">
        <is>
          <t>L3</t>
        </is>
      </c>
      <c r="I81" t="inlineStr">
        <is>
          <t>Expenses — receipts</t>
        </is>
      </c>
    </row>
    <row r="82">
      <c r="A82" s="2" t="inlineStr">
        <is>
          <t>BTW-LINE-INCL-CHECKBOX</t>
        </is>
      </c>
      <c r="B82" s="3" t="inlineStr">
        <is>
          <t>two parts, UI + calc:</t>
        </is>
      </c>
      <c r="C82" s="2" t="inlineStr">
        <is>
          <t>Triage / core</t>
        </is>
      </c>
      <c r="D82" s="7" t="inlineStr">
        <is>
          <t>P1</t>
        </is>
      </c>
      <c r="E82" s="2" t="inlineStr">
        <is>
          <t>Open</t>
        </is>
      </c>
      <c r="F82" s="2" t="inlineStr">
        <is>
          <t>ground-zero-triage.md:502</t>
        </is>
      </c>
      <c r="G82" s="2" t="inlineStr"/>
      <c r="H82" s="24" t="inlineStr">
        <is>
          <t>L3</t>
        </is>
      </c>
      <c r="I82" t="inlineStr">
        <is>
          <t>Finance — VAT</t>
        </is>
      </c>
    </row>
    <row r="83">
      <c r="A83" s="2" t="inlineStr">
        <is>
          <t>BUILD-TYPECHECK-GATE</t>
        </is>
      </c>
      <c r="B83" s="3" t="inlineStr">
        <is>
          <t>PROCESS: this is the Nth broken-import/undefined-component crash that passed a green build (useEffect, submitLateEntry, W("db-clients"), now #130). The build is NOT failing on unresolved/typed-wrong imports. Enable blocking typecheck on imports (remove typescript.ignoreBuildErrors / add a CI tsc ...</t>
        </is>
      </c>
      <c r="C83" s="2" t="inlineStr">
        <is>
          <t>Triage / core</t>
        </is>
      </c>
      <c r="D83" s="7" t="inlineStr">
        <is>
          <t>P1</t>
        </is>
      </c>
      <c r="E83" s="5" t="inlineStr">
        <is>
          <t>Done</t>
        </is>
      </c>
      <c r="F83" s="2" t="inlineStr">
        <is>
          <t>ground-zero-triage.md:671</t>
        </is>
      </c>
      <c r="G83" s="2" t="inlineStr"/>
      <c r="H83" s="25" t="inlineStr">
        <is>
          <t>⟂</t>
        </is>
      </c>
      <c r="I83" t="inlineStr">
        <is>
          <t>CI gates</t>
        </is>
      </c>
    </row>
    <row r="84">
      <c r="A84" s="2" t="inlineStr">
        <is>
          <t>CLOCK-STATE-STALE-BADGE</t>
        </is>
      </c>
      <c r="B84" s="3" t="inlineStr">
        <is>
          <t>"Clocked In" shows even after clocking OUT (Florin 2026-07-12). NOT just the flashing — the badge's state is wrong. ROOT CAUSE (Planner-traced): src/components/time-tracker/hooks/useClockEntries.ts:42-43 is a per-component hook with isolated local useState and only fetches once on mount (L83-85);...</t>
        </is>
      </c>
      <c r="C84" s="2" t="inlineStr">
        <is>
          <t>Triage / core</t>
        </is>
      </c>
      <c r="D84" s="7" t="inlineStr">
        <is>
          <t>P1</t>
        </is>
      </c>
      <c r="E84" s="5" t="inlineStr">
        <is>
          <t>Done</t>
        </is>
      </c>
      <c r="F84" s="2" t="inlineStr">
        <is>
          <t>ground-zero-triage.md:476</t>
        </is>
      </c>
      <c r="G84" s="2" t="inlineStr"/>
      <c r="H84" s="24" t="inlineStr">
        <is>
          <t>L3</t>
        </is>
      </c>
      <c r="I84" t="inlineStr">
        <is>
          <t>HR — clock entries</t>
        </is>
      </c>
    </row>
    <row r="85">
      <c r="A85" s="2" t="inlineStr">
        <is>
          <t>CONNECT-NEW-FLYOUT</t>
        </is>
      </c>
      <c r="B85" s="3" t="inlineStr">
        <is>
          <t>the Connect-New flyout (in detail modal Connected-Records) only opens on the SECOND click, and its button collides with the modal close button (it was removed from the Connected-Records card). FIX: fix the open-on-first-click (event/portal timing, same family as SELECT-LINGER) and reposition so C...</t>
        </is>
      </c>
      <c r="C85" s="2" t="inlineStr">
        <is>
          <t>Triage / core</t>
        </is>
      </c>
      <c r="D85" s="7" t="inlineStr">
        <is>
          <t>P1</t>
        </is>
      </c>
      <c r="E85" s="5" t="inlineStr">
        <is>
          <t>Done</t>
        </is>
      </c>
      <c r="F85" s="2" t="inlineStr">
        <is>
          <t>ground-zero-triage.md:1147</t>
        </is>
      </c>
      <c r="G85" s="2" t="inlineStr"/>
      <c r="H85" s="22" t="inlineStr">
        <is>
          <t>L2</t>
        </is>
      </c>
      <c r="I85" t="inlineStr">
        <is>
          <t>integrations</t>
        </is>
      </c>
    </row>
    <row r="86">
      <c r="A86" s="2" t="inlineStr">
        <is>
          <t>DB-VIEW-PROPSTATE-NOT-STICKING</t>
        </is>
      </c>
      <c r="B86" s="3" t="inlineStr">
        <is>
          <t>column show/hide set in the database header does not persist.</t>
        </is>
      </c>
      <c r="C86" s="2" t="inlineStr">
        <is>
          <t>Triage / core</t>
        </is>
      </c>
      <c r="D86" s="7" t="inlineStr">
        <is>
          <t>P1</t>
        </is>
      </c>
      <c r="E86" s="2" t="inlineStr">
        <is>
          <t>Open</t>
        </is>
      </c>
      <c r="F86" s="2" t="inlineStr">
        <is>
          <t>ground-zero-triage.md:287</t>
        </is>
      </c>
      <c r="G86" s="2" t="inlineStr"/>
      <c r="H86" s="22" t="inlineStr">
        <is>
          <t>L2</t>
        </is>
      </c>
      <c r="I86" t="inlineStr">
        <is>
          <t>Database / Records module</t>
        </is>
      </c>
    </row>
    <row r="87">
      <c r="A87" s="2" t="inlineStr">
        <is>
          <t>DEDUP-STRICT</t>
        </is>
      </c>
      <c r="B87" s="3" t="inlineStr">
        <is>
          <t>classify an incoming receipt/purchase-invoice against existing records by exact field equality (normalized: trim + case-fold names, canonicalize date to YYYY-MM-DD, strip formatting from the doc number):</t>
        </is>
      </c>
      <c r="C87" s="2" t="inlineStr">
        <is>
          <t>Triage / core</t>
        </is>
      </c>
      <c r="D87" s="7" t="inlineStr">
        <is>
          <t>P1</t>
        </is>
      </c>
      <c r="E87" s="2" t="inlineStr">
        <is>
          <t>Open</t>
        </is>
      </c>
      <c r="F87" s="2" t="inlineStr">
        <is>
          <t>ground-zero-triage.md:602</t>
        </is>
      </c>
      <c r="G87" s="2" t="inlineStr"/>
      <c r="H87" s="24" t="inlineStr">
        <is>
          <t>L3</t>
        </is>
      </c>
      <c r="I87" t="inlineStr">
        <is>
          <t>Expenses — dedup</t>
        </is>
      </c>
    </row>
    <row r="88">
      <c r="A88" s="2" t="inlineStr">
        <is>
          <t>ENGINE-CATEGORY-WRAPPERS</t>
        </is>
      </c>
      <c r="B88" s="3" t="inlineStr"/>
      <c r="C88" s="2" t="inlineStr">
        <is>
          <t>Triage / core</t>
        </is>
      </c>
      <c r="D88" s="7" t="inlineStr">
        <is>
          <t>P1</t>
        </is>
      </c>
      <c r="E88" s="2" t="inlineStr">
        <is>
          <t>Open</t>
        </is>
      </c>
      <c r="F88" s="2" t="inlineStr">
        <is>
          <t>ground-zero-triage.md:559</t>
        </is>
      </c>
      <c r="G88" s="2" t="inlineStr"/>
      <c r="H88" s="24" t="inlineStr">
        <is>
          <t>L3</t>
        </is>
      </c>
      <c r="I88" t="inlineStr">
        <is>
          <t>grid / relations engine</t>
        </is>
      </c>
    </row>
    <row r="89">
      <c r="A89" s="2" t="inlineStr">
        <is>
          <t>ENGINE-DND-REBUILD</t>
        </is>
      </c>
      <c r="B89" s="3" t="inlineStr">
        <is>
          <t>replace the DnD foundation of the document engines (quote + invoice; shared QuotationRow/InvoiceRow/FinancialRowRenderer).</t>
        </is>
      </c>
      <c r="C89" s="2" t="inlineStr">
        <is>
          <t>Triage / core</t>
        </is>
      </c>
      <c r="D89" s="7" t="inlineStr">
        <is>
          <t>P1</t>
        </is>
      </c>
      <c r="E89" s="5" t="inlineStr">
        <is>
          <t>Done</t>
        </is>
      </c>
      <c r="F89" s="2" t="inlineStr">
        <is>
          <t>ground-zero-triage.md:573</t>
        </is>
      </c>
      <c r="G89" s="2" t="inlineStr"/>
      <c r="H89" s="24" t="inlineStr">
        <is>
          <t>L3</t>
        </is>
      </c>
      <c r="I89" t="inlineStr">
        <is>
          <t>grid / relations engine</t>
        </is>
      </c>
    </row>
    <row r="90">
      <c r="A90" s="2" t="inlineStr">
        <is>
          <t>EXPENSE-CATEGORY-CONSOLIDATE</t>
        </is>
      </c>
      <c r="B90" s="3" t="inlineStr">
        <is>
          <t>TWO concurrent category systems exist: src/lib/expense-taxonomy.ts (EXPENSE_CATEGORIES/COST_TYPES, used by TicketCaptureModal + PurchaseInvoiceEngine) vs a separate hardcoded category select baked into the db-expenses schema in DatabaseClone.tsx (L294/L419/L440, its own inline options). So the DA...</t>
        </is>
      </c>
      <c r="C90" s="2" t="inlineStr">
        <is>
          <t>Triage / core</t>
        </is>
      </c>
      <c r="D90" s="7" t="inlineStr">
        <is>
          <t>P1</t>
        </is>
      </c>
      <c r="E90" s="2" t="inlineStr">
        <is>
          <t>Open</t>
        </is>
      </c>
      <c r="F90" s="2" t="inlineStr">
        <is>
          <t>ground-zero-triage.md:612</t>
        </is>
      </c>
      <c r="G90" s="2" t="inlineStr"/>
      <c r="H90" s="24" t="inlineStr">
        <is>
          <t>L3</t>
        </is>
      </c>
      <c r="I90" t="inlineStr">
        <is>
          <t>Expenses</t>
        </is>
      </c>
    </row>
    <row r="91">
      <c r="A91" s="2" t="inlineStr">
        <is>
          <t>EXPENSE-CATEGORY-DB-WIRE</t>
        </is>
      </c>
      <c r="B91" s="3" t="inlineStr">
        <is>
          <t>the two-level category→costType selects made it INTO the modal (L912-926, using COST_TYPES) but NOT into the receipt database: the save writes category onto the created page (L73/L360/L409) yet db-expenses has no property to receive/display it → categories vanish. FIX: add category + costType (+ ...</t>
        </is>
      </c>
      <c r="C91" s="2" t="inlineStr">
        <is>
          <t>Triage / core</t>
        </is>
      </c>
      <c r="D91" s="7" t="inlineStr">
        <is>
          <t>P1</t>
        </is>
      </c>
      <c r="E91" s="2" t="inlineStr">
        <is>
          <t>Open</t>
        </is>
      </c>
      <c r="F91" s="2" t="inlineStr">
        <is>
          <t>ground-zero-triage.md:349</t>
        </is>
      </c>
      <c r="G91" s="2" t="inlineStr"/>
      <c r="H91" s="24" t="inlineStr">
        <is>
          <t>L3</t>
        </is>
      </c>
      <c r="I91" t="inlineStr">
        <is>
          <t>Expenses</t>
        </is>
      </c>
    </row>
    <row r="92">
      <c r="A92" s="2" t="inlineStr">
        <is>
          <t>HR-TIMESHEET-APPROVALS</t>
        </is>
      </c>
      <c r="B92" s="3" t="inlineStr">
        <is>
          <t>the HR timesheets submodule must offer the full review actions (currently only reads approvalStatus, no actions): accept / deny a late entry, and accept/deny a non-GPS-bound (off-geofence/manual) entry. This is the review-queue side of CLOCK-APPROVAL. Add per-entry Accept/Deny controls (foreman/o...</t>
        </is>
      </c>
      <c r="C92" s="2" t="inlineStr">
        <is>
          <t>Triage / core</t>
        </is>
      </c>
      <c r="D92" s="7" t="inlineStr">
        <is>
          <t>P1</t>
        </is>
      </c>
      <c r="E92" s="2" t="inlineStr">
        <is>
          <t>Open</t>
        </is>
      </c>
      <c r="F92" s="2" t="inlineStr">
        <is>
          <t>ground-zero-triage.md:634</t>
        </is>
      </c>
      <c r="G92" s="2" t="inlineStr"/>
      <c r="H92" s="24" t="inlineStr">
        <is>
          <t>L3</t>
        </is>
      </c>
      <c r="I92" t="inlineStr">
        <is>
          <t>HR / Workforce</t>
        </is>
      </c>
    </row>
    <row r="93">
      <c r="A93" s="2" t="inlineStr">
        <is>
          <t>HR-TIMESHEET-MANUAL-ADD</t>
        </is>
      </c>
      <c r="B93" s="3" t="inlineStr">
        <is>
          <t>an admin/foreman can manually add a time entry for a workforce member from HR timesheets (fallback when clock-in/out malfunctions): pick member + date + start/stop (+ optional project/note), creates a ClockEntry (flagged manual → pending approval per CLOCK-APPROVAL). Verify: add a manual entry fo...</t>
        </is>
      </c>
      <c r="C93" s="2" t="inlineStr">
        <is>
          <t>Triage / core</t>
        </is>
      </c>
      <c r="D93" s="7" t="inlineStr">
        <is>
          <t>P1</t>
        </is>
      </c>
      <c r="E93" s="2" t="inlineStr">
        <is>
          <t>Open</t>
        </is>
      </c>
      <c r="F93" s="2" t="inlineStr">
        <is>
          <t>ground-zero-triage.md:635</t>
        </is>
      </c>
      <c r="G93" s="2" t="inlineStr"/>
      <c r="H93" s="24" t="inlineStr">
        <is>
          <t>L3</t>
        </is>
      </c>
      <c r="I93" t="inlineStr">
        <is>
          <t>HR / Workforce</t>
        </is>
      </c>
    </row>
    <row r="94">
      <c r="A94" s="2" t="inlineStr">
        <is>
          <t>HR-USER-NAME-RESOLUTION</t>
        </is>
      </c>
      <c r="B94" s="3" t="inlineStr">
        <is>
          <t>HR shows raw user CUIDs and, on the timesheets tab, every clock entry is attributed to "System" (Florin 2026-07-12). TWO surfaces, one class of bug — resolve userId → display name correctly and robustly.</t>
        </is>
      </c>
      <c r="C94" s="2" t="inlineStr">
        <is>
          <t>Triage / core</t>
        </is>
      </c>
      <c r="D94" s="7" t="inlineStr">
        <is>
          <t>P1</t>
        </is>
      </c>
      <c r="E94" s="5" t="inlineStr">
        <is>
          <t>Done</t>
        </is>
      </c>
      <c r="F94" s="2" t="inlineStr">
        <is>
          <t>ground-zero-triage.md:401</t>
        </is>
      </c>
      <c r="G94" s="2" t="inlineStr"/>
      <c r="H94" s="24" t="inlineStr">
        <is>
          <t>L3</t>
        </is>
      </c>
      <c r="I94" t="inlineStr">
        <is>
          <t>HR / Workforce</t>
        </is>
      </c>
    </row>
    <row r="95">
      <c r="A95" s="2" t="inlineStr">
        <is>
          <t>MOBILE-HOME-NOT-WORKHUB</t>
        </is>
      </c>
      <c r="B95" s="3" t="inlineStr">
        <is>
          <t>on the main app on mobile, "Home" routes to WorkHub. Culprit: MobileBottomNav.tsx:20 { id:'workhub', label:'Home', href:'/admin/hr/time-tracker' } → that route redirect('/workhub'). FIX: point mobile Home at the mobile app home (/m, or /admin/dashboard), not the workhub redirect. (Coordinate with...</t>
        </is>
      </c>
      <c r="C95" s="2" t="inlineStr">
        <is>
          <t>Triage / core</t>
        </is>
      </c>
      <c r="D95" s="7" t="inlineStr">
        <is>
          <t>P1</t>
        </is>
      </c>
      <c r="E95" s="2" t="inlineStr">
        <is>
          <t>Open</t>
        </is>
      </c>
      <c r="F95" s="2" t="inlineStr">
        <is>
          <t>ground-zero-triage.md:630</t>
        </is>
      </c>
      <c r="G95" s="2" t="inlineStr"/>
      <c r="H95" s="22" t="inlineStr">
        <is>
          <t>L2</t>
        </is>
      </c>
      <c r="I95" t="inlineStr">
        <is>
          <t>Tasks · Mobile / PWA</t>
        </is>
      </c>
    </row>
    <row r="96">
      <c r="A96" s="2" t="inlineStr">
        <is>
          <t>NOTIF-INCOMING-INVOICE-DEEPLINK</t>
        </is>
      </c>
      <c r="B96" s="3" t="inlineStr">
        <is>
          <t>make the notification open the actual purchase invoice:</t>
        </is>
      </c>
      <c r="C96" s="2" t="inlineStr">
        <is>
          <t>Triage / core</t>
        </is>
      </c>
      <c r="D96" s="7" t="inlineStr">
        <is>
          <t>P1</t>
        </is>
      </c>
      <c r="E96" s="2" t="inlineStr">
        <is>
          <t>Open</t>
        </is>
      </c>
      <c r="F96" s="2" t="inlineStr">
        <is>
          <t>ground-zero-triage.md:492</t>
        </is>
      </c>
      <c r="G96" s="2" t="inlineStr"/>
      <c r="H96" s="23" t="inlineStr">
        <is>
          <t>L1</t>
        </is>
      </c>
      <c r="I96" t="inlineStr">
        <is>
          <t>platform services — notifications</t>
        </is>
      </c>
    </row>
    <row r="97">
      <c r="A97" s="2" t="inlineStr">
        <is>
          <t>OCC-10-INVISIBLE-RESOLVE-BUTTON</t>
        </is>
      </c>
      <c r="B97" s="3" t="inlineStr">
        <is>
          <t>"Resolve &amp; Save" renders but is invisible. GlobalDatabaseSyncer.tsx:270 uses className="bg-brand-600 hover:bg-brand-700 text-white". There is no tailwind.config (Tailwind v4), no brand colour defined in globals.css, and bg-brand-600 occurs exactly once in the whole codebase — here. The class emit...</t>
        </is>
      </c>
      <c r="C97" s="2" t="inlineStr">
        <is>
          <t>Triage / core</t>
        </is>
      </c>
      <c r="D97" s="7" t="inlineStr">
        <is>
          <t>P1</t>
        </is>
      </c>
      <c r="E97" s="5" t="inlineStr">
        <is>
          <t>Done</t>
        </is>
      </c>
      <c r="F97" s="2" t="inlineStr">
        <is>
          <t>ground-zero-triage.md:153</t>
        </is>
      </c>
      <c r="G97" s="2" t="inlineStr"/>
      <c r="H97" s="23" t="inlineStr">
        <is>
          <t>L1</t>
        </is>
      </c>
      <c r="I97" t="inlineStr">
        <is>
          <t>write path — concurrency</t>
        </is>
      </c>
    </row>
    <row r="98">
      <c r="A98" s="2" t="inlineStr">
        <is>
          <t>OCC-2b-FINISH-TAGGING</t>
        </is>
      </c>
      <c r="B98" s="3" t="inlineStr">
        <is>
          <t>OCC-2 only tagged cron-overdue and accountant-export. quote-service.ts (both write sites), payment-plan-service.ts, actions/pages.ts, actions/tasks.ts, api/scan, api/peppol/inbox, api/admin/backfill-peppol, accept-quote, accept-invoice, stripe/webhook, cron/vat-backfill, api/portals/, schema-clea...</t>
        </is>
      </c>
      <c r="C98" s="2" t="inlineStr">
        <is>
          <t>Triage / core</t>
        </is>
      </c>
      <c r="D98" s="7" t="inlineStr">
        <is>
          <t>P1</t>
        </is>
      </c>
      <c r="E98" s="5" t="inlineStr">
        <is>
          <t>Done</t>
        </is>
      </c>
      <c r="F98" s="2" t="inlineStr">
        <is>
          <t>ground-zero-triage.md:124</t>
        </is>
      </c>
      <c r="G98" s="2" t="inlineStr"/>
      <c r="H98" s="23" t="inlineStr">
        <is>
          <t>L1</t>
        </is>
      </c>
      <c r="I98" t="inlineStr">
        <is>
          <t>write path — concurrency</t>
        </is>
      </c>
    </row>
    <row r="99">
      <c r="A99" s="2" t="inlineStr">
        <is>
          <t>OCC-3-FIELD-MERGE</t>
        </is>
      </c>
      <c r="B99" s="3" t="inlineStr">
        <is>
          <t>the high-leverage one; do it in the same pass, not later. Most of these toasts are non-collisions: the cron changed status, you edited betreft.</t>
        </is>
      </c>
      <c r="C99" s="2" t="inlineStr">
        <is>
          <t>Triage / core</t>
        </is>
      </c>
      <c r="D99" s="7" t="inlineStr">
        <is>
          <t>P1</t>
        </is>
      </c>
      <c r="E99" s="2" t="inlineStr">
        <is>
          <t>Open</t>
        </is>
      </c>
      <c r="F99" s="2" t="inlineStr">
        <is>
          <t>ground-zero-triage.md:95</t>
        </is>
      </c>
      <c r="G99" s="2" t="inlineStr"/>
      <c r="H99" s="23" t="inlineStr">
        <is>
          <t>L1</t>
        </is>
      </c>
      <c r="I99" t="inlineStr">
        <is>
          <t>write path — concurrency</t>
        </is>
      </c>
    </row>
    <row r="100">
      <c r="A100" s="2" t="inlineStr">
        <is>
          <t>OCC-4-CONFLICT-UX</t>
        </is>
      </c>
      <c r="B100" s="3" t="inlineStr">
        <is>
          <t>replace the downloads-JSON escape hatch with real recovery.</t>
        </is>
      </c>
      <c r="C100" s="2" t="inlineStr">
        <is>
          <t>Triage / core</t>
        </is>
      </c>
      <c r="D100" s="7" t="inlineStr">
        <is>
          <t>P1</t>
        </is>
      </c>
      <c r="E100" s="2" t="inlineStr">
        <is>
          <t>Open</t>
        </is>
      </c>
      <c r="F100" s="2" t="inlineStr">
        <is>
          <t>ground-zero-triage.md:104</t>
        </is>
      </c>
      <c r="G100" s="2" t="inlineStr"/>
      <c r="H100" s="23" t="inlineStr">
        <is>
          <t>L1</t>
        </is>
      </c>
      <c r="I100" t="inlineStr">
        <is>
          <t>write path — concurrency</t>
        </is>
      </c>
    </row>
    <row r="101">
      <c r="A101" s="2" t="inlineStr">
        <is>
          <t>OCC-4b-COPY</t>
        </is>
      </c>
      <c r="B101" s="3" t="inlineStr">
        <is>
          <t>the dialog shipped (good: Download Backup / Reload Page, no blind reload) but the header still reads "Someone else edited this page while you were working", which is false in the dominant case. Use the lastEditedBy origin now returned at :264: system origin → "This record changed in the backgroun...</t>
        </is>
      </c>
      <c r="C101" s="2" t="inlineStr">
        <is>
          <t>Triage / core</t>
        </is>
      </c>
      <c r="D101" s="7" t="inlineStr">
        <is>
          <t>P1</t>
        </is>
      </c>
      <c r="E101" s="2" t="inlineStr">
        <is>
          <t>Open</t>
        </is>
      </c>
      <c r="F101" s="2" t="inlineStr">
        <is>
          <t>ground-zero-triage.md:125</t>
        </is>
      </c>
      <c r="G101" s="2" t="inlineStr"/>
      <c r="H101" s="23" t="inlineStr">
        <is>
          <t>L1</t>
        </is>
      </c>
      <c r="I101" t="inlineStr">
        <is>
          <t>write path — concurrency</t>
        </is>
      </c>
    </row>
    <row r="102">
      <c r="A102" s="2" t="inlineStr">
        <is>
          <t>PEPPOL-SEND-FIX</t>
        </is>
      </c>
      <c r="B102" s="3" t="inlineStr"/>
      <c r="C102" s="2" t="inlineStr">
        <is>
          <t>Triage / core</t>
        </is>
      </c>
      <c r="D102" s="7" t="inlineStr">
        <is>
          <t>P1</t>
        </is>
      </c>
      <c r="E102" s="5" t="inlineStr">
        <is>
          <t>Done</t>
        </is>
      </c>
      <c r="F102" s="2" t="inlineStr">
        <is>
          <t>ground-zero-triage.md:422</t>
        </is>
      </c>
      <c r="G102" s="2" t="inlineStr"/>
      <c r="H102" s="22" t="inlineStr">
        <is>
          <t>L2</t>
        </is>
      </c>
      <c r="I102" t="inlineStr">
        <is>
          <t>Peppol / e-invoicing</t>
        </is>
      </c>
    </row>
    <row r="103">
      <c r="A103" s="2" t="inlineStr">
        <is>
          <t>PORTAL-QUOTE-LINE-TOTAL</t>
        </is>
      </c>
      <c r="B103" s="3" t="inlineStr">
        <is>
          <t>ROOT CAUSE (traced, src/app/[locale]/quote/[id]/QuotationViewer.tsx): the leaf-line row uses the bare block.verkoopPrice — lineTotal = (block.verkoopPrice||0) qty (L115), unit price L131, total L134 — and does NOT recurse into subcomponents. But container totals use the recursive calculateBlockTo...</t>
        </is>
      </c>
      <c r="C103" s="2" t="inlineStr">
        <is>
          <t>Triage / core</t>
        </is>
      </c>
      <c r="D103" s="7" t="inlineStr">
        <is>
          <t>P1</t>
        </is>
      </c>
      <c r="E103" s="2" t="inlineStr">
        <is>
          <t>Open</t>
        </is>
      </c>
      <c r="F103" s="2" t="inlineStr">
        <is>
          <t>ground-zero-triage.md:554</t>
        </is>
      </c>
      <c r="G103" s="2" t="inlineStr"/>
      <c r="H103" s="22" t="inlineStr">
        <is>
          <t>L2</t>
        </is>
      </c>
      <c r="I103" t="inlineStr">
        <is>
          <t>Client Portal</t>
        </is>
      </c>
    </row>
    <row r="104">
      <c r="A104" s="2" t="inlineStr">
        <is>
          <t>PROJECT-MODULE</t>
        </is>
      </c>
      <c r="B104" s="3" t="inlineStr">
        <is>
          <t>two parts:</t>
        </is>
      </c>
      <c r="C104" s="2" t="inlineStr">
        <is>
          <t>Triage / core</t>
        </is>
      </c>
      <c r="D104" s="7" t="inlineStr">
        <is>
          <t>P1</t>
        </is>
      </c>
      <c r="E104" s="2" t="inlineStr">
        <is>
          <t>Open</t>
        </is>
      </c>
      <c r="F104" s="2" t="inlineStr">
        <is>
          <t>ground-zero-triage.md:623</t>
        </is>
      </c>
      <c r="G104" s="2" t="inlineStr"/>
      <c r="H104" s="24" t="inlineStr">
        <is>
          <t>L3</t>
        </is>
      </c>
      <c r="I104" t="inlineStr">
        <is>
          <t>Projects</t>
        </is>
      </c>
    </row>
    <row r="105">
      <c r="A105" s="2" t="inlineStr">
        <is>
          <t>PROJECT-TOTALS-AGGREGATE</t>
        </is>
      </c>
      <c r="B105" s="3" t="inlineStr">
        <is>
          <t>two separate bugs:</t>
        </is>
      </c>
      <c r="C105" s="2" t="inlineStr">
        <is>
          <t>Triage / core</t>
        </is>
      </c>
      <c r="D105" s="7" t="inlineStr">
        <is>
          <t>P1</t>
        </is>
      </c>
      <c r="E105" s="2" t="inlineStr">
        <is>
          <t>Open</t>
        </is>
      </c>
      <c r="F105" s="2" t="inlineStr">
        <is>
          <t>ground-zero-triage.md:593</t>
        </is>
      </c>
      <c r="G105" s="2" t="inlineStr"/>
      <c r="H105" s="24" t="inlineStr">
        <is>
          <t>L3</t>
        </is>
      </c>
      <c r="I105" t="inlineStr">
        <is>
          <t>Projects</t>
        </is>
      </c>
    </row>
    <row r="106">
      <c r="A106" s="2" t="inlineStr">
        <is>
          <t>RECEIPT-BONNETJE-LINK</t>
        </is>
      </c>
      <c r="B106" s="3" t="inlineStr">
        <is>
          <t>the "Bonnetje" property links are broken (Florin 2026-07-12). DatabaseClone.tsx:460 defines { id:'receiptUrl', name:'Bonnetje', type:'url' }, but TicketCaptureModal stores the raw Blob storage KEY (receiptUrl = uploadRes.key, L307 → L344/364/401/414) into that url property. Since receipts are acc...</t>
        </is>
      </c>
      <c r="C106" s="2" t="inlineStr">
        <is>
          <t>Triage / core</t>
        </is>
      </c>
      <c r="D106" s="7" t="inlineStr">
        <is>
          <t>P1</t>
        </is>
      </c>
      <c r="E106" s="5" t="inlineStr">
        <is>
          <t>Done</t>
        </is>
      </c>
      <c r="F106" s="2" t="inlineStr">
        <is>
          <t>ground-zero-triage.md:357</t>
        </is>
      </c>
      <c r="G106" s="2" t="inlineStr"/>
      <c r="H106" s="24" t="inlineStr">
        <is>
          <t>L3</t>
        </is>
      </c>
      <c r="I106" t="inlineStr">
        <is>
          <t>Expenses — receipts</t>
        </is>
      </c>
    </row>
    <row r="107">
      <c r="A107" s="2" t="inlineStr">
        <is>
          <t>RECORD-DETAIL-PASTE-FOCUS</t>
        </is>
      </c>
      <c r="B107" s="3" t="inlineStr">
        <is>
          <t>paste always lands in the NAME/title property, no matter where you click (Florin: even while creating a journal entry, the clipboard pastes into the name). Data-corruption risk. ROOT CAUSE (traced): there is NO paste handler anywhere — it's a focus-stealing bug. PageModal.tsx L588-600 does docume...</t>
        </is>
      </c>
      <c r="C107" s="2" t="inlineStr">
        <is>
          <t>Triage / core</t>
        </is>
      </c>
      <c r="D107" s="7" t="inlineStr">
        <is>
          <t>P1</t>
        </is>
      </c>
      <c r="E107" s="2" t="inlineStr">
        <is>
          <t>Open</t>
        </is>
      </c>
      <c r="F107" s="2" t="inlineStr">
        <is>
          <t>ground-zero-triage.md:586</t>
        </is>
      </c>
      <c r="G107" s="2" t="inlineStr"/>
      <c r="H107" s="24" t="inlineStr">
        <is>
          <t>L3</t>
        </is>
      </c>
      <c r="I107" t="inlineStr">
        <is>
          <t>grid — record surface</t>
        </is>
      </c>
    </row>
    <row r="108">
      <c r="A108" s="2" t="inlineStr">
        <is>
          <t>SCAN-DATA-PERSIST</t>
        </is>
      </c>
      <c r="B108" s="3" t="inlineStr">
        <is>
          <t>the modal scans, then LOSES both the extracted data AND the scanned document — Florin has to re-upload the ticket and redo fields manually. Two things must persist through review→save:</t>
        </is>
      </c>
      <c r="C108" s="2" t="inlineStr">
        <is>
          <t>Triage / core</t>
        </is>
      </c>
      <c r="D108" s="7" t="inlineStr">
        <is>
          <t>P1</t>
        </is>
      </c>
      <c r="E108" s="2" t="inlineStr">
        <is>
          <t>Open</t>
        </is>
      </c>
      <c r="F108" s="2" t="inlineStr">
        <is>
          <t>ground-zero-triage.md:350</t>
        </is>
      </c>
      <c r="G108" s="2" t="inlineStr"/>
      <c r="H108" s="24" t="inlineStr">
        <is>
          <t>L3</t>
        </is>
      </c>
      <c r="I108" t="inlineStr">
        <is>
          <t>Expenses — OCR / scan</t>
        </is>
      </c>
    </row>
    <row r="109">
      <c r="A109" s="2" t="inlineStr">
        <is>
          <t>SCAN-MOBILE-CAMERA-FALLBACK</t>
        </is>
      </c>
      <c r="B109" s="3" t="inlineStr">
        <is>
          <t>a phone-camera photo of a receipt must always be salvageable: Florin shot a receipt today, the capture was low quality, OCR read it poorly, and he ended up deleting it. OCR on a camera photo will NEVER be perfect — so the flow must degrade to manual correction, never dead-end. FIX: (1) confirm th...</t>
        </is>
      </c>
      <c r="C109" s="2" t="inlineStr">
        <is>
          <t>Triage / core</t>
        </is>
      </c>
      <c r="D109" s="7" t="inlineStr">
        <is>
          <t>P1</t>
        </is>
      </c>
      <c r="E109" s="2" t="inlineStr">
        <is>
          <t>Open</t>
        </is>
      </c>
      <c r="F109" s="2" t="inlineStr">
        <is>
          <t>ground-zero-triage.md:354</t>
        </is>
      </c>
      <c r="G109" s="2" t="inlineStr"/>
      <c r="H109" s="24" t="inlineStr">
        <is>
          <t>L3</t>
        </is>
      </c>
      <c r="I109" t="inlineStr">
        <is>
          <t>Expenses — OCR / scan</t>
        </is>
      </c>
    </row>
    <row r="110">
      <c r="A110" s="2" t="inlineStr">
        <is>
          <t>SCAN-RECEIPT-TOTAL-NOT-NETTO</t>
        </is>
      </c>
      <c r="B110" s="3" t="inlineStr">
        <is>
          <t>on receipts the extraction grabs the netto (subtotal ex-VAT) and skips the totaal, so the amount is wrong (Florin 2026-07-12). On a kassabon/ticket the correct amount is ALWAYS the final TOTAAL / TE BETALEN / TOTAL paid (incl VAT), never a netto/subtotal line. FIX: in TICKET_SYSTEM_PROMPT (and th...</t>
        </is>
      </c>
      <c r="C110" s="2" t="inlineStr">
        <is>
          <t>Triage / core</t>
        </is>
      </c>
      <c r="D110" s="7" t="inlineStr">
        <is>
          <t>P1</t>
        </is>
      </c>
      <c r="E110" s="5" t="inlineStr">
        <is>
          <t>Done</t>
        </is>
      </c>
      <c r="F110" s="2" t="inlineStr">
        <is>
          <t>ground-zero-triage.md:355</t>
        </is>
      </c>
      <c r="G110" s="2" t="inlineStr"/>
      <c r="H110" s="24" t="inlineStr">
        <is>
          <t>L3</t>
        </is>
      </c>
      <c r="I110" t="inlineStr">
        <is>
          <t>Expenses — OCR / scan</t>
        </is>
      </c>
    </row>
    <row r="111">
      <c r="A111" s="2" t="inlineStr">
        <is>
          <t>SCHED-ABSENCE-IN-GRID</t>
        </is>
      </c>
      <c r="B111" s="3" t="inlineStr">
        <is>
          <t>two gaps on absence: (1) scheduling an absence exists (scheduleType 'leave') — verify it works; (2) an approved LEAVE REQUEST (from the workforce time-off flow) does NOT appear in the scheduler. FIX: the scheduler grid must render approved absences/leave — read approved time-off/leave records for...</t>
        </is>
      </c>
      <c r="C111" s="2" t="inlineStr">
        <is>
          <t>Triage / core</t>
        </is>
      </c>
      <c r="D111" s="7" t="inlineStr">
        <is>
          <t>P1</t>
        </is>
      </c>
      <c r="E111" s="2" t="inlineStr">
        <is>
          <t>Open</t>
        </is>
      </c>
      <c r="F111" s="2" t="inlineStr">
        <is>
          <t>ground-zero-triage.md:633</t>
        </is>
      </c>
      <c r="G111" s="2" t="inlineStr"/>
      <c r="H111" s="24" t="inlineStr">
        <is>
          <t>L3</t>
        </is>
      </c>
      <c r="I111" t="inlineStr">
        <is>
          <t>HR — scheduling</t>
        </is>
      </c>
    </row>
    <row r="112">
      <c r="A112" s="2" t="inlineStr">
        <is>
          <t>SCHED-CONVERT-TO-RECURRING</t>
        </is>
      </c>
      <c r="B112" s="3" t="inlineStr">
        <is>
          <t>(Florin request 1) — from an existing shift's edit dialog: "Make recurring" → pattern picker (reuse the existing selectedDays × recurringWeeks UI) → generates the future occurrences and stamps them plus the original with a shared seriesId. Show a preview count ("this will create 12 shifts") befor...</t>
        </is>
      </c>
      <c r="C112" s="2" t="inlineStr">
        <is>
          <t>Triage / core</t>
        </is>
      </c>
      <c r="D112" s="7" t="inlineStr">
        <is>
          <t>P1</t>
        </is>
      </c>
      <c r="E112" s="2" t="inlineStr">
        <is>
          <t>Open</t>
        </is>
      </c>
      <c r="F112" s="2" t="inlineStr">
        <is>
          <t>ground-zero-triage.md:338</t>
        </is>
      </c>
      <c r="G112" s="2" t="inlineStr"/>
      <c r="H112" s="24" t="inlineStr">
        <is>
          <t>L3</t>
        </is>
      </c>
      <c r="I112" t="inlineStr">
        <is>
          <t>HR — scheduling</t>
        </is>
      </c>
    </row>
    <row r="113">
      <c r="A113" s="2" t="inlineStr">
        <is>
          <t>SCHED-DATE-RANGE</t>
        </is>
      </c>
      <c r="B113" s="3" t="inlineStr">
        <is>
          <t>(Florin request 2) — date-RANGE selection for both leave and shift creation. Verified today: leave writes a single shift_date (:485), so a week's holiday takes seven manual entries — that's the workaround Florin is (rightly) objecting to.</t>
        </is>
      </c>
      <c r="C113" s="2" t="inlineStr">
        <is>
          <t>Triage / core</t>
        </is>
      </c>
      <c r="D113" s="7" t="inlineStr">
        <is>
          <t>P1</t>
        </is>
      </c>
      <c r="E113" s="2" t="inlineStr">
        <is>
          <t>Open</t>
        </is>
      </c>
      <c r="F113" s="2" t="inlineStr">
        <is>
          <t>ground-zero-triage.md:339</t>
        </is>
      </c>
      <c r="G113" s="2" t="inlineStr"/>
      <c r="H113" s="24" t="inlineStr">
        <is>
          <t>L3</t>
        </is>
      </c>
      <c r="I113" t="inlineStr">
        <is>
          <t>HR — scheduling</t>
        </is>
      </c>
    </row>
    <row r="114">
      <c r="A114" s="2" t="inlineStr">
        <is>
          <t>SCHED-MULTI-RECUR-VERIFY</t>
        </is>
      </c>
      <c r="B114" s="3" t="inlineStr">
        <is>
          <t>multi-assign, recurring, AND leave-scheduling already exist in CreateShiftForm.tsx (scheduleType: single|recurring|leave L175, recurringWeeks L166, worker checkboxes L795, userIds array → "across N employee(s)" L481). Florin reports the multi-member checkbox is gone/not showing and wants recurrin...</t>
        </is>
      </c>
      <c r="C114" s="2" t="inlineStr">
        <is>
          <t>Triage / core</t>
        </is>
      </c>
      <c r="D114" s="7" t="inlineStr">
        <is>
          <t>P1</t>
        </is>
      </c>
      <c r="E114" s="2" t="inlineStr">
        <is>
          <t>Open</t>
        </is>
      </c>
      <c r="F114" s="2" t="inlineStr">
        <is>
          <t>ground-zero-triage.md:632</t>
        </is>
      </c>
      <c r="G114" s="2" t="inlineStr"/>
      <c r="H114" s="24" t="inlineStr">
        <is>
          <t>L3</t>
        </is>
      </c>
      <c r="I114" t="inlineStr">
        <is>
          <t>HR — scheduling</t>
        </is>
      </c>
    </row>
    <row r="115">
      <c r="A115" s="2" t="inlineStr">
        <is>
          <t>SIDEBAR-ORDER-HARDCODE</t>
        </is>
      </c>
      <c r="B115" s="3" t="inlineStr">
        <is>
          <t>two edits, both in the sidebar plumbing:</t>
        </is>
      </c>
      <c r="C115" s="2" t="inlineStr">
        <is>
          <t>Triage / core</t>
        </is>
      </c>
      <c r="D115" s="7" t="inlineStr">
        <is>
          <t>P1</t>
        </is>
      </c>
      <c r="E115" s="2" t="inlineStr">
        <is>
          <t>Open</t>
        </is>
      </c>
      <c r="F115" s="2" t="inlineStr">
        <is>
          <t>ground-zero-triage.md:518</t>
        </is>
      </c>
      <c r="G115" s="2" t="inlineStr"/>
      <c r="H115" s="24" t="inlineStr">
        <is>
          <t>L3</t>
        </is>
      </c>
      <c r="I115" t="inlineStr">
        <is>
          <t>shells &amp; navigation</t>
        </is>
      </c>
    </row>
    <row r="116">
      <c r="A116" s="2" t="inlineStr">
        <is>
          <t>TASKS-BACKLINK-REDRAW</t>
        </is>
      </c>
      <c r="B116" s="3" t="inlineStr">
        <is>
          <t>⟲ — task backlink → full UI redraw twice + sidebar reset flicker. Measure: the backlink nav forces a full remount + the sidebar store re-hydrates (ties SIDEBAR-MIGRATE). Make the backlink a scoped navigation (no full app remount); stabilize sidebar hydration so it doesn't flicker. TASKS-BACKLINK-...</t>
        </is>
      </c>
      <c r="C116" s="2" t="inlineStr">
        <is>
          <t>Triage / core</t>
        </is>
      </c>
      <c r="D116" s="7" t="inlineStr">
        <is>
          <t>P1</t>
        </is>
      </c>
      <c r="E116" s="5" t="inlineStr">
        <is>
          <t>Done</t>
        </is>
      </c>
      <c r="F116" s="2" t="inlineStr">
        <is>
          <t>ground-zero-triage.md:1164</t>
        </is>
      </c>
      <c r="G116" s="2" t="inlineStr"/>
      <c r="H116" s="24" t="inlineStr">
        <is>
          <t>L3</t>
        </is>
      </c>
      <c r="I116" t="inlineStr">
        <is>
          <t>Tasks submodule</t>
        </is>
      </c>
    </row>
    <row r="117">
      <c r="A117" s="2" t="inlineStr">
        <is>
          <t>TASKS-DATEPICKER</t>
        </is>
      </c>
      <c r="B117" s="3" t="inlineStr">
        <is>
          <t>task date opens the SYSTEM calendar, not the custom date picker (DATE-LOC). Wire the custom localized picker. TASKS-DATEPICKER: use custom localized date picker in tasks.</t>
        </is>
      </c>
      <c r="C117" s="2" t="inlineStr">
        <is>
          <t>Triage / core</t>
        </is>
      </c>
      <c r="D117" s="7" t="inlineStr">
        <is>
          <t>P1</t>
        </is>
      </c>
      <c r="E117" s="5" t="inlineStr">
        <is>
          <t>Done</t>
        </is>
      </c>
      <c r="F117" s="2" t="inlineStr">
        <is>
          <t>ground-zero-triage.md:1163</t>
        </is>
      </c>
      <c r="G117" s="2" t="inlineStr"/>
      <c r="H117" s="24" t="inlineStr">
        <is>
          <t>L3</t>
        </is>
      </c>
      <c r="I117" t="inlineStr">
        <is>
          <t>Tasks submodule</t>
        </is>
      </c>
    </row>
    <row r="118">
      <c r="A118" s="2" t="inlineStr">
        <is>
          <t>TASKS-FLYOUT-CLIP</t>
        </is>
      </c>
      <c r="B118" s="3" t="inlineStr">
        <is>
          <t>⟲ — a max-height clips flyouts in Tasks → can't set status/date on a new task (cutting-mask / portal class). Portal the status/date flyouts to body (SELECT-PORTAL pattern); remove the clipping max-height. VERIFY: set status + date on a new task. TASKS-FLYOUT-CLIP: portal task status/date flyouts ...</t>
        </is>
      </c>
      <c r="C118" s="2" t="inlineStr">
        <is>
          <t>Triage / core</t>
        </is>
      </c>
      <c r="D118" s="7" t="inlineStr">
        <is>
          <t>P1</t>
        </is>
      </c>
      <c r="E118" s="5" t="inlineStr">
        <is>
          <t>Done</t>
        </is>
      </c>
      <c r="F118" s="2" t="inlineStr">
        <is>
          <t>ground-zero-triage.md:1162</t>
        </is>
      </c>
      <c r="G118" s="2" t="inlineStr"/>
      <c r="H118" s="24" t="inlineStr">
        <is>
          <t>L3</t>
        </is>
      </c>
      <c r="I118" t="inlineStr">
        <is>
          <t>Tasks submodule</t>
        </is>
      </c>
    </row>
    <row r="119">
      <c r="A119" s="2" t="inlineStr">
        <is>
          <t>VRIJETEKST-EDITOR-RESET</t>
        </is>
      </c>
      <c r="B119" s="3" t="inlineStr">
        <is>
          <t>the free-text rich editor loses what you type after ~3s, then a second attempt sticks. ROOT CAUSE (traced, QuotationRow.tsx L735-743): the contentEditable div binds dangerouslySetInnerHTML={{ __html: block.content }} (re-applied on EVERY render) but only commits via onBlur — so mid-typing the con...</t>
        </is>
      </c>
      <c r="C119" s="2" t="inlineStr">
        <is>
          <t>Triage / core</t>
        </is>
      </c>
      <c r="D119" s="7" t="inlineStr">
        <is>
          <t>P1</t>
        </is>
      </c>
      <c r="E119" s="2" t="inlineStr">
        <is>
          <t>Open</t>
        </is>
      </c>
      <c r="F119" s="2" t="inlineStr">
        <is>
          <t>ground-zero-triage.md:528</t>
        </is>
      </c>
      <c r="G119" s="2" t="inlineStr"/>
      <c r="H119" s="24" t="inlineStr">
        <is>
          <t>L3</t>
        </is>
      </c>
      <c r="I119" t="inlineStr">
        <is>
          <t>Quotations engine</t>
        </is>
      </c>
    </row>
    <row r="120">
      <c r="A120" s="2" t="inlineStr">
        <is>
          <t>WORKHUB-SNAKE-CASE-LEGACY</t>
        </is>
      </c>
      <c r="B120" s="3" t="inlineStr">
        <is>
          <t>153 snake_case leftovers across components/time-tracker/ (shift_start, shift_end, shift_date, clock_entry_id, user_id, full_name) from the pre-Prisma (Supabase) era. Prisma returns camelCase, so these read undefined. Confirmed live: MySchedule.tsx:77 renders shift.shift_start/shift.shift_end (bla...</t>
        </is>
      </c>
      <c r="C120" s="2" t="inlineStr">
        <is>
          <t>Triage / core</t>
        </is>
      </c>
      <c r="D120" s="7" t="inlineStr">
        <is>
          <t>P1</t>
        </is>
      </c>
      <c r="E120" s="2" t="inlineStr">
        <is>
          <t>Open</t>
        </is>
      </c>
      <c r="F120" s="2" t="inlineStr">
        <is>
          <t>ground-zero-triage.md:250</t>
        </is>
      </c>
      <c r="G120" s="2" t="inlineStr"/>
      <c r="H120" s="24" t="inlineStr">
        <is>
          <t>L3</t>
        </is>
      </c>
      <c r="I120" t="inlineStr">
        <is>
          <t>shells &amp; navigation — WorkHubShell</t>
        </is>
      </c>
    </row>
    <row r="121">
      <c r="A121" s="2" t="inlineStr">
        <is>
          <t>—</t>
        </is>
      </c>
      <c r="B121" s="3" t="inlineStr">
        <is>
          <t>WORKHUB-CLOCK-BTN-STYLE (corrected spec) 🟧 — the flashing red clock button "is back". It never regressed in React; the component fix was defeated by CSS specificity.</t>
        </is>
      </c>
      <c r="C121" s="2" t="inlineStr">
        <is>
          <t>Triage / core</t>
        </is>
      </c>
      <c r="D121" s="7" t="inlineStr">
        <is>
          <t>P1</t>
        </is>
      </c>
      <c r="E121" s="2" t="inlineStr">
        <is>
          <t>Open</t>
        </is>
      </c>
      <c r="F121" s="2" t="inlineStr">
        <is>
          <t>ground-zero-triage.md:251</t>
        </is>
      </c>
      <c r="G121" s="2" t="inlineStr"/>
      <c r="H121" s="23" t="inlineStr">
        <is>
          <t>L1</t>
        </is>
      </c>
      <c r="I121" t="inlineStr">
        <is>
          <t>ERP core — mixed triage</t>
        </is>
      </c>
    </row>
    <row r="122">
      <c r="A122" s="2" t="inlineStr">
        <is>
          <t>—</t>
        </is>
      </c>
      <c r="B122" s="3" t="inlineStr">
        <is>
          <t>SCHED-SERIES-ID — prerequisite for both requested features. ScheduledShift has no seriesId/parentId (verified against the Prisma model); a recurring batch is just N independent rows (CreateShiftForm.tsx:447 loops weeks × selected weekdays × users). Consequences: you cannot edit or delete a series...</t>
        </is>
      </c>
      <c r="C122" s="2" t="inlineStr">
        <is>
          <t>Triage / core</t>
        </is>
      </c>
      <c r="D122" s="7" t="inlineStr">
        <is>
          <t>P1</t>
        </is>
      </c>
      <c r="E122" s="2" t="inlineStr">
        <is>
          <t>Open</t>
        </is>
      </c>
      <c r="F122" s="2" t="inlineStr">
        <is>
          <t>ground-zero-triage.md:337</t>
        </is>
      </c>
      <c r="G122" s="2" t="inlineStr"/>
      <c r="H122" s="23" t="inlineStr">
        <is>
          <t>L1</t>
        </is>
      </c>
      <c r="I122" t="inlineStr">
        <is>
          <t>ERP core — mixed triage</t>
        </is>
      </c>
    </row>
    <row r="123">
      <c r="A123" s="2" t="inlineStr">
        <is>
          <t>—</t>
        </is>
      </c>
      <c r="B123" s="3" t="inlineStr">
        <is>
          <t>RECEIPT-BONNETJE→ATTACHMENTS 🟧 (REVISES RECEIPT-BONNETJE-LINK) — Florin: the Bonnetje url column (DatabaseClone L460, also 'Origineel Document' L405, hardcoded → localize if kept) never holds a viable link, AND the attachments panel is empty for imports. FIX: replace the receiptUrl url-column wit...</t>
        </is>
      </c>
      <c r="C123" s="2" t="inlineStr">
        <is>
          <t>Triage / core</t>
        </is>
      </c>
      <c r="D123" s="7" t="inlineStr">
        <is>
          <t>P1</t>
        </is>
      </c>
      <c r="E123" s="2" t="inlineStr">
        <is>
          <t>Open</t>
        </is>
      </c>
      <c r="F123" s="2" t="inlineStr">
        <is>
          <t>ground-zero-triage.md:613</t>
        </is>
      </c>
      <c r="G123" s="2" t="inlineStr"/>
      <c r="H123" s="23" t="inlineStr">
        <is>
          <t>L1</t>
        </is>
      </c>
      <c r="I123" t="inlineStr">
        <is>
          <t>ERP core — mixed triage</t>
        </is>
      </c>
    </row>
    <row r="124">
      <c r="A124" s="2" t="inlineStr">
        <is>
          <t>—</t>
        </is>
      </c>
      <c r="B124" s="3" t="inlineStr">
        <is>
          <t>SCAN-MERCHANT→TITLE 🟧 (REFINES SCAN-MERCHANT-PREFILL) — the shop/supplier field is a select that shows nothing when the scanned name isn't an existing supplier; and lately every imported receipt gets a blank/"Unnamed Expense" name (TicketCaptureModal L293/L330/L356: title = form.merchant || 'Unna...</t>
        </is>
      </c>
      <c r="C124" s="2" t="inlineStr">
        <is>
          <t>Triage / core</t>
        </is>
      </c>
      <c r="D124" s="7" t="inlineStr">
        <is>
          <t>P1</t>
        </is>
      </c>
      <c r="E124" s="2" t="inlineStr">
        <is>
          <t>Open</t>
        </is>
      </c>
      <c r="F124" s="2" t="inlineStr">
        <is>
          <t>ground-zero-triage.md:614</t>
        </is>
      </c>
      <c r="G124" s="2" t="inlineStr"/>
      <c r="H124" s="23" t="inlineStr">
        <is>
          <t>L1</t>
        </is>
      </c>
      <c r="I124" t="inlineStr">
        <is>
          <t>ERP core — mixed triage</t>
        </is>
      </c>
    </row>
    <row r="125">
      <c r="A125" s="2" t="inlineStr">
        <is>
          <t>AUTO-ACCOUNTANT-DELIVER</t>
        </is>
      </c>
      <c r="B125" s="3" t="inlineStr">
        <is>
          <t>(U5) 🟨 — already designed in coral-accountant-sharing.md Path B: on a sent invoice, auto-copy to the accountant (Peppol or email). Settings: enabled, accountant contact + channel. Just surface its config in the Automations panel.</t>
        </is>
      </c>
      <c r="C125" s="2" t="inlineStr">
        <is>
          <t>Automations</t>
        </is>
      </c>
      <c r="D125" s="8" t="inlineStr">
        <is>
          <t>P2</t>
        </is>
      </c>
      <c r="E125" s="2" t="inlineStr">
        <is>
          <t>Open</t>
        </is>
      </c>
      <c r="F125" s="2" t="inlineStr">
        <is>
          <t>coral-automations-study.md:75</t>
        </is>
      </c>
      <c r="G125" s="2" t="inlineStr"/>
      <c r="H125" s="22" t="inlineStr">
        <is>
          <t>L2</t>
        </is>
      </c>
      <c r="I125" t="inlineStr">
        <is>
          <t>Automations</t>
        </is>
      </c>
    </row>
    <row r="126">
      <c r="A126" s="2" t="inlineStr">
        <is>
          <t>AUTO-INVOICE-REMINDERS</t>
        </is>
      </c>
      <c r="B126" s="3" t="inlineStr">
        <is>
          <t>(U1) 🟨 — on/off + cadence (e.g. remind at +7/+14/+30 days overdue) + tone/template + stop-on-payment. Builds on the existing invoice-overdue/reminders crons — this adds the tenant-configurable schedule + copy on top. Settings: enabled, day offsets, template, cc self.</t>
        </is>
      </c>
      <c r="C126" s="2" t="inlineStr">
        <is>
          <t>Automations</t>
        </is>
      </c>
      <c r="D126" s="8" t="inlineStr">
        <is>
          <t>P2</t>
        </is>
      </c>
      <c r="E126" s="2" t="inlineStr">
        <is>
          <t>Open</t>
        </is>
      </c>
      <c r="F126" s="2" t="inlineStr">
        <is>
          <t>coral-automations-study.md:73</t>
        </is>
      </c>
      <c r="G126" s="2" t="inlineStr"/>
      <c r="H126" s="22" t="inlineStr">
        <is>
          <t>L2</t>
        </is>
      </c>
      <c r="I126" t="inlineStr">
        <is>
          <t>Automations</t>
        </is>
      </c>
    </row>
    <row r="127">
      <c r="A127" s="2" t="inlineStr">
        <is>
          <t>AUTO-QUOTE-FOLLOWUP</t>
        </is>
      </c>
      <c r="B127" s="3" t="inlineStr">
        <is>
          <t>(U2) 🟨 — "if a quote isn't accepted/viewed within N days → send a follow-up." Settings: enabled, N days, follow-up template, max follow-ups. Recovers stale quotes. (No portal dependency for proposals per DOC-PROPOSAL; quotes only.)</t>
        </is>
      </c>
      <c r="C127" s="2" t="inlineStr">
        <is>
          <t>Automations</t>
        </is>
      </c>
      <c r="D127" s="8" t="inlineStr">
        <is>
          <t>P2</t>
        </is>
      </c>
      <c r="E127" s="2" t="inlineStr">
        <is>
          <t>Open</t>
        </is>
      </c>
      <c r="F127" s="2" t="inlineStr">
        <is>
          <t>coral-automations-study.md:74</t>
        </is>
      </c>
      <c r="G127" s="2" t="inlineStr"/>
      <c r="H127" s="22" t="inlineStr">
        <is>
          <t>L2</t>
        </is>
      </c>
      <c r="I127" t="inlineStr">
        <is>
          <t>Automations</t>
        </is>
      </c>
    </row>
    <row r="128">
      <c r="A128" s="2" t="inlineStr">
        <is>
          <t>AUTO-SCHEDULED-DIGEST</t>
        </is>
      </c>
      <c r="B128" s="3" t="inlineStr">
        <is>
          <t>(U8) 🟨 — recurring summary email (weekly project/financial digest, or "open items"). Settings: enabled, frequency, recipients, contents. Cheapest to build — leans on the existing scheduled-tasks infra; high perceived value.</t>
        </is>
      </c>
      <c r="C128" s="2" t="inlineStr">
        <is>
          <t>Automations</t>
        </is>
      </c>
      <c r="D128" s="8" t="inlineStr">
        <is>
          <t>P2</t>
        </is>
      </c>
      <c r="E128" s="2" t="inlineStr">
        <is>
          <t>Open</t>
        </is>
      </c>
      <c r="F128" s="2" t="inlineStr">
        <is>
          <t>coral-automations-study.md:76</t>
        </is>
      </c>
      <c r="G128" s="2" t="inlineStr"/>
      <c r="H128" s="22" t="inlineStr">
        <is>
          <t>L2</t>
        </is>
      </c>
      <c r="I128" t="inlineStr">
        <is>
          <t>Automations</t>
        </is>
      </c>
    </row>
    <row r="129">
      <c r="A129" s="2" t="inlineStr">
        <is>
          <t>CAL-5</t>
        </is>
      </c>
      <c r="B129" s="3" t="inlineStr">
        <is>
          <t>add sourceType/sourceId to Event (additive); an "Add to calendar" affordance on date-bearing records creates a linked Event (syncable to Google). Implement the SOURCE-WINS mirror: source date change updates the Event, source delete removes it. Verify: change an invoice due date → the linked event...</t>
        </is>
      </c>
      <c r="C129" s="2" t="inlineStr">
        <is>
          <t>Calendar</t>
        </is>
      </c>
      <c r="D129" s="8" t="inlineStr">
        <is>
          <t>P2</t>
        </is>
      </c>
      <c r="E129" s="2" t="inlineStr">
        <is>
          <t>Open</t>
        </is>
      </c>
      <c r="F129" s="2" t="inlineStr">
        <is>
          <t>coral-calendar.md:69</t>
        </is>
      </c>
      <c r="G129" s="2" t="inlineStr"/>
      <c r="H129" s="22" t="inlineStr">
        <is>
          <t>L2</t>
        </is>
      </c>
      <c r="I129" t="inlineStr">
        <is>
          <t>Calendar module</t>
        </is>
      </c>
    </row>
    <row r="130">
      <c r="A130" s="2" t="inlineStr">
        <is>
          <t>CAL-6</t>
        </is>
      </c>
      <c r="B130" s="3" t="inlineStr">
        <is>
          <t>drag a shift on the calendar → writes ScheduledShift. Deliberately last: dragging into a write path before the aggregation is proven risks corrupting the schedule. Projections other than shifts stay read-only permanently.</t>
        </is>
      </c>
      <c r="C130" s="2" t="inlineStr">
        <is>
          <t>Calendar</t>
        </is>
      </c>
      <c r="D130" s="8" t="inlineStr">
        <is>
          <t>P2</t>
        </is>
      </c>
      <c r="E130" s="2" t="inlineStr">
        <is>
          <t>Open</t>
        </is>
      </c>
      <c r="F130" s="2" t="inlineStr">
        <is>
          <t>coral-calendar.md:70</t>
        </is>
      </c>
      <c r="G130" s="2" t="inlineStr"/>
      <c r="H130" s="22" t="inlineStr">
        <is>
          <t>L2</t>
        </is>
      </c>
      <c r="I130" t="inlineStr">
        <is>
          <t>Calendar module</t>
        </is>
      </c>
    </row>
    <row r="131">
      <c r="A131" s="2" t="inlineStr">
        <is>
          <t>ATT-5</t>
        </is>
      </c>
      <c r="B131" s="3" t="inlineStr">
        <is>
          <t>(Florin) — any invoice already sent with annexes selected went out with the PDF only. Worth identifying and re-sending.</t>
        </is>
      </c>
      <c r="C131" s="2" t="inlineStr">
        <is>
          <t>Email attachments</t>
        </is>
      </c>
      <c r="D131" s="8" t="inlineStr">
        <is>
          <t>P2</t>
        </is>
      </c>
      <c r="E131" s="5" t="inlineStr">
        <is>
          <t>Done</t>
        </is>
      </c>
      <c r="F131" s="2" t="inlineStr">
        <is>
          <t>coral-email-attachments-bug.md:61</t>
        </is>
      </c>
      <c r="G131" s="2" t="inlineStr"/>
      <c r="H131" s="23" t="inlineStr">
        <is>
          <t>L1</t>
        </is>
      </c>
      <c r="I131" t="inlineStr">
        <is>
          <t>document engine — attachments</t>
        </is>
      </c>
    </row>
    <row r="132">
      <c r="A132" s="2" t="inlineStr">
        <is>
          <t>PROT-7</t>
        </is>
      </c>
      <c r="B132" s="3" t="inlineStr">
        <is>
          <t>close the loop. Because the ask is for two documents, track them separately: creditNoteReceived and correctedInvoiceReceived are independent flags (they arrive at different times), plus withdrawn / accepted after all. A protest is only fully resolved when BOTH have arrived — a credit note alone l...</t>
        </is>
      </c>
      <c r="C132" s="2" t="inlineStr">
        <is>
          <t>Finance · Invoice protest</t>
        </is>
      </c>
      <c r="D132" s="8" t="inlineStr">
        <is>
          <t>P2</t>
        </is>
      </c>
      <c r="E132" s="2" t="inlineStr">
        <is>
          <t>Open</t>
        </is>
      </c>
      <c r="F132" s="2" t="inlineStr">
        <is>
          <t>coral-invoice-protest.md:32</t>
        </is>
      </c>
      <c r="G132" s="2" t="inlineStr"/>
      <c r="H132" s="24" t="inlineStr">
        <is>
          <t>L3</t>
        </is>
      </c>
      <c r="I132" t="inlineStr">
        <is>
          <t>Finance — invoice protest</t>
        </is>
      </c>
    </row>
    <row r="133">
      <c r="A133" s="2" t="inlineStr">
        <is>
          <t>PROT-8</t>
        </is>
      </c>
      <c r="B133" s="3" t="inlineStr">
        <is>
          <t>if a protest has no resolution after N days (setting, default 14), surface it in the notifications/digest. Rides the automations work (coral-automations-study.md — this is a natural AUTO- rule).</t>
        </is>
      </c>
      <c r="C133" s="2" t="inlineStr">
        <is>
          <t>Finance · Invoice protest</t>
        </is>
      </c>
      <c r="D133" s="8" t="inlineStr">
        <is>
          <t>P2</t>
        </is>
      </c>
      <c r="E133" s="2" t="inlineStr">
        <is>
          <t>Open</t>
        </is>
      </c>
      <c r="F133" s="2" t="inlineStr">
        <is>
          <t>coral-invoice-protest.md:33</t>
        </is>
      </c>
      <c r="G133" s="2" t="inlineStr"/>
      <c r="H133" s="24" t="inlineStr">
        <is>
          <t>L3</t>
        </is>
      </c>
      <c r="I133" t="inlineStr">
        <is>
          <t>Finance — invoice protest</t>
        </is>
      </c>
    </row>
    <row r="134">
      <c r="A134" s="2" t="inlineStr">
        <is>
          <t>PI-ART-4</t>
        </is>
      </c>
      <c r="B134" s="3" t="inlineStr">
        <is>
          <t>record each observed purchase price against the article (date, supplier, price, source invoice id). Even a simple append-only list turns the library into a price-trend record — you can then see that a supplier has raised a price three times this year, which is exactly the sort of thing that's inv...</t>
        </is>
      </c>
      <c r="C134" s="2" t="inlineStr">
        <is>
          <t>Finance · Purchase invoices</t>
        </is>
      </c>
      <c r="D134" s="8" t="inlineStr">
        <is>
          <t>P2</t>
        </is>
      </c>
      <c r="E134" s="2" t="inlineStr">
        <is>
          <t>Open</t>
        </is>
      </c>
      <c r="F134" s="2" t="inlineStr">
        <is>
          <t>coral-purchase-invoice-lines.md:39</t>
        </is>
      </c>
      <c r="G134" s="2" t="inlineStr"/>
      <c r="H134" s="24" t="inlineStr">
        <is>
          <t>L3</t>
        </is>
      </c>
      <c r="I134" t="inlineStr">
        <is>
          <t>Finance — purchase invoices</t>
        </is>
      </c>
    </row>
    <row r="135">
      <c r="A135" s="2" t="inlineStr">
        <is>
          <t>PI-ART-5</t>
        </is>
      </c>
      <c r="B135" s="3" t="inlineStr">
        <is>
          <t>an invoice-level action you trigger: "Match all lines" → shows every line with its suggested match (or "new"), you confirm/adjust in one pass, then it applies. On a 40-line builders'-merchant invoice, per-line dialogs are unusable. Never runs automatically on import (decided).</t>
        </is>
      </c>
      <c r="C135" s="2" t="inlineStr">
        <is>
          <t>Finance · Purchase invoices</t>
        </is>
      </c>
      <c r="D135" s="8" t="inlineStr">
        <is>
          <t>P2</t>
        </is>
      </c>
      <c r="E135" s="2" t="inlineStr">
        <is>
          <t>Open</t>
        </is>
      </c>
      <c r="F135" s="2" t="inlineStr">
        <is>
          <t>coral-purchase-invoice-lines.md:40</t>
        </is>
      </c>
      <c r="G135" s="2" t="inlineStr"/>
      <c r="H135" s="24" t="inlineStr">
        <is>
          <t>L3</t>
        </is>
      </c>
      <c r="I135" t="inlineStr">
        <is>
          <t>Finance — purchase invoices</t>
        </is>
      </c>
    </row>
    <row r="136">
      <c r="A136" s="2" t="inlineStr">
        <is>
          <t>PI-LINES-3</t>
        </is>
      </c>
      <c r="B136" s="3" t="inlineStr">
        <is>
          <t>for existing invoices with invoiceLines but no financial-row blocks, materialise blocks once. Additive only; dry-run + count first (pd.md). Not strictly needed once PI-LINES-1 lands, since the shared reader covers them.</t>
        </is>
      </c>
      <c r="C136" s="2" t="inlineStr">
        <is>
          <t>Finance · Purchase invoices</t>
        </is>
      </c>
      <c r="D136" s="8" t="inlineStr">
        <is>
          <t>P2</t>
        </is>
      </c>
      <c r="E136" s="2" t="inlineStr">
        <is>
          <t>Open</t>
        </is>
      </c>
      <c r="F136" s="2" t="inlineStr">
        <is>
          <t>coral-purchase-invoice-lines.md:21</t>
        </is>
      </c>
      <c r="G136" s="2" t="inlineStr"/>
      <c r="H136" s="24" t="inlineStr">
        <is>
          <t>L3</t>
        </is>
      </c>
      <c r="I136" t="inlineStr">
        <is>
          <t>Finance — purchase invoices</t>
        </is>
      </c>
    </row>
    <row r="137">
      <c r="A137" s="2" t="inlineStr">
        <is>
          <t>PO-IN</t>
        </is>
      </c>
      <c r="B137" s="3" t="inlineStr">
        <is>
          <t>new document type + database (db-po-in, "Client Orders"):</t>
        </is>
      </c>
      <c r="C137" s="2" t="inlineStr">
        <is>
          <t>Finance · Purchase orders</t>
        </is>
      </c>
      <c r="D137" s="8" t="inlineStr">
        <is>
          <t>P2</t>
        </is>
      </c>
      <c r="E137" s="2" t="inlineStr">
        <is>
          <t>Open</t>
        </is>
      </c>
      <c r="F137" s="2" t="inlineStr">
        <is>
          <t>coral-purchase-orders.md:29</t>
        </is>
      </c>
      <c r="G137" s="2" t="inlineStr"/>
      <c r="H137" s="24" t="inlineStr">
        <is>
          <t>L3</t>
        </is>
      </c>
      <c r="I137" t="inlineStr">
        <is>
          <t>Finance — purchase orders</t>
        </is>
      </c>
    </row>
    <row r="138">
      <c r="A138" s="2" t="inlineStr">
        <is>
          <t>PO-OUT</t>
        </is>
      </c>
      <c r="B138" s="3" t="inlineStr">
        <is>
          <t>new document type + database (db-po-out, "Purchase Orders"):</t>
        </is>
      </c>
      <c r="C138" s="2" t="inlineStr">
        <is>
          <t>Finance · Purchase orders</t>
        </is>
      </c>
      <c r="D138" s="8" t="inlineStr">
        <is>
          <t>P2</t>
        </is>
      </c>
      <c r="E138" s="2" t="inlineStr">
        <is>
          <t>Open</t>
        </is>
      </c>
      <c r="F138" s="2" t="inlineStr">
        <is>
          <t>coral-purchase-orders.md:21</t>
        </is>
      </c>
      <c r="G138" s="2" t="inlineStr"/>
      <c r="H138" s="24" t="inlineStr">
        <is>
          <t>L3</t>
        </is>
      </c>
      <c r="I138" t="inlineStr">
        <is>
          <t>Finance — purchase orders</t>
        </is>
      </c>
    </row>
    <row r="139">
      <c r="A139" s="2" t="inlineStr">
        <is>
          <t>PROJ-DOC-ROLLUP</t>
        </is>
      </c>
      <c r="B139" s="3" t="inlineStr">
        <is>
          <t>every document type relates to a project and rolls up in the project detail. Extends PROJECT-TOTALS-AGGREGATE (which currently sums quotes + invoices) with the commitment layer:</t>
        </is>
      </c>
      <c r="C139" s="2" t="inlineStr">
        <is>
          <t>Finance · Purchase orders</t>
        </is>
      </c>
      <c r="D139" s="8" t="inlineStr">
        <is>
          <t>P2</t>
        </is>
      </c>
      <c r="E139" s="2" t="inlineStr">
        <is>
          <t>Open</t>
        </is>
      </c>
      <c r="F139" s="2" t="inlineStr">
        <is>
          <t>coral-purchase-orders.md:36</t>
        </is>
      </c>
      <c r="G139" s="2" t="inlineStr"/>
      <c r="H139" s="24" t="inlineStr">
        <is>
          <t>L3</t>
        </is>
      </c>
      <c r="I139" t="inlineStr">
        <is>
          <t>Projects</t>
        </is>
      </c>
    </row>
    <row r="140">
      <c r="A140" s="2" t="inlineStr">
        <is>
          <t>TS-6</t>
        </is>
      </c>
      <c r="B140" s="3" t="inlineStr">
        <is>
          <t>weekly "hours last week" digest to owner/foreman; monthly payroll pack on a fixed day. Reuses the automations work (coral-automations-study.md).</t>
        </is>
      </c>
      <c r="C140" s="2" t="inlineStr">
        <is>
          <t>HR · Timesheet reporting</t>
        </is>
      </c>
      <c r="D140" s="8" t="inlineStr">
        <is>
          <t>P2</t>
        </is>
      </c>
      <c r="E140" s="2" t="inlineStr">
        <is>
          <t>Open</t>
        </is>
      </c>
      <c r="F140" s="2" t="inlineStr">
        <is>
          <t>coral-timesheet-reporting.md:66</t>
        </is>
      </c>
      <c r="G140" s="2" t="inlineStr"/>
      <c r="H140" s="24" t="inlineStr">
        <is>
          <t>L3</t>
        </is>
      </c>
      <c r="I140" t="inlineStr">
        <is>
          <t>HR — timesheets</t>
        </is>
      </c>
    </row>
    <row r="141">
      <c r="A141" s="2" t="inlineStr">
        <is>
          <t>TS-7</t>
        </is>
      </c>
      <c r="B141" s="3" t="inlineStr">
        <is>
          <t>every edit/approval/manual entry is attributable: keep approvedBy/approvedAt, add createdBy/source on ClockEntry (additive) so a manual entry is distinguishable from a clocked one in every report. Corrections should amend with a trail, never silently overwrite — payroll data must be defensible.</t>
        </is>
      </c>
      <c r="C141" s="2" t="inlineStr">
        <is>
          <t>HR · Timesheet reporting</t>
        </is>
      </c>
      <c r="D141" s="8" t="inlineStr">
        <is>
          <t>P2</t>
        </is>
      </c>
      <c r="E141" s="2" t="inlineStr">
        <is>
          <t>Open</t>
        </is>
      </c>
      <c r="F141" s="2" t="inlineStr">
        <is>
          <t>coral-timesheet-reporting.md:67</t>
        </is>
      </c>
      <c r="G141" s="2" t="inlineStr"/>
      <c r="H141" s="24" t="inlineStr">
        <is>
          <t>L3</t>
        </is>
      </c>
      <c r="I141" t="inlineStr">
        <is>
          <t>HR — timesheets</t>
        </is>
      </c>
    </row>
    <row r="142">
      <c r="A142" s="2" t="inlineStr">
        <is>
          <t>TSP-7</t>
        </is>
      </c>
      <c r="B142" s="3" t="inlineStr">
        <is>
          <t>only once TSP-1…6 demonstrably cover their function: remove timesheets/reports/, timesheets/approvals/, and their two hrTabs entries (config/tabs.ts:5-6). Keep the three APIs — they are page-agnostic and are what this page runs on. Never delete before the replacement works.</t>
        </is>
      </c>
      <c r="C142" s="2" t="inlineStr">
        <is>
          <t>HR · Timesheets page</t>
        </is>
      </c>
      <c r="D142" s="8" t="inlineStr">
        <is>
          <t>P2</t>
        </is>
      </c>
      <c r="E142" s="2" t="inlineStr">
        <is>
          <t>Open</t>
        </is>
      </c>
      <c r="F142" s="2" t="inlineStr">
        <is>
          <t>coral-timesheets-page.md:70</t>
        </is>
      </c>
      <c r="G142" s="2" t="inlineStr"/>
      <c r="H142" s="24" t="inlineStr">
        <is>
          <t>L3</t>
        </is>
      </c>
      <c r="I142" t="inlineStr">
        <is>
          <t>HR — timesheets page</t>
        </is>
      </c>
    </row>
    <row r="143">
      <c r="A143" s="2" t="inlineStr">
        <is>
          <t>TSP-B4</t>
        </is>
      </c>
      <c r="B143" s="3" t="inlineStr">
        <is>
          <t>default to this month (or last 30 days), not this week: on a Monday the week-to-date view is near-empty and reads as breakage. And distinguish the three empty cases: request failed · no entries at all · _no entries in this period, but N exist outside it_ — the last one with a one-click widen. (Th...</t>
        </is>
      </c>
      <c r="C143" s="2" t="inlineStr">
        <is>
          <t>HR · Timesheets page</t>
        </is>
      </c>
      <c r="D143" s="8" t="inlineStr">
        <is>
          <t>P2</t>
        </is>
      </c>
      <c r="E143" s="2" t="inlineStr">
        <is>
          <t>Open</t>
        </is>
      </c>
      <c r="F143" s="2" t="inlineStr">
        <is>
          <t>coral-timesheets-page.md:60</t>
        </is>
      </c>
      <c r="G143" s="2" t="inlineStr"/>
      <c r="H143" s="24" t="inlineStr">
        <is>
          <t>L3</t>
        </is>
      </c>
      <c r="I143" t="inlineStr">
        <is>
          <t>HR — timesheets page</t>
        </is>
      </c>
    </row>
    <row r="144">
      <c r="A144" s="2" t="inlineStr">
        <is>
          <t>MOBILE-DEVICE-DETECT</t>
        </is>
      </c>
      <c r="B144" s="3" t="inlineStr"/>
      <c r="C144" s="2" t="inlineStr">
        <is>
          <t>Mobile</t>
        </is>
      </c>
      <c r="D144" s="8" t="inlineStr">
        <is>
          <t>P2</t>
        </is>
      </c>
      <c r="E144" s="2" t="inlineStr">
        <is>
          <t>Open</t>
        </is>
      </c>
      <c r="F144" s="2" t="inlineStr">
        <is>
          <t>coral-mobile-optimization.md:36</t>
        </is>
      </c>
      <c r="G144" s="2" t="inlineStr"/>
      <c r="H144" s="22" t="inlineStr">
        <is>
          <t>L2</t>
        </is>
      </c>
      <c r="I144" t="inlineStr">
        <is>
          <t>Tasks · Mobile / PWA</t>
        </is>
      </c>
    </row>
    <row r="145">
      <c r="A145" s="2" t="inlineStr">
        <is>
          <t>MOBILE-STACKED-CARDS</t>
        </is>
      </c>
      <c r="B145" s="3" t="inlineStr"/>
      <c r="C145" s="2" t="inlineStr">
        <is>
          <t>Mobile</t>
        </is>
      </c>
      <c r="D145" s="8" t="inlineStr">
        <is>
          <t>P2</t>
        </is>
      </c>
      <c r="E145" s="2" t="inlineStr">
        <is>
          <t>Open</t>
        </is>
      </c>
      <c r="F145" s="2" t="inlineStr">
        <is>
          <t>coral-mobile-optimization.md:25</t>
        </is>
      </c>
      <c r="G145" s="2" t="inlineStr"/>
      <c r="H145" s="22" t="inlineStr">
        <is>
          <t>L2</t>
        </is>
      </c>
      <c r="I145" t="inlineStr">
        <is>
          <t>Tasks · Mobile / PWA</t>
        </is>
      </c>
    </row>
    <row r="146">
      <c r="A146" s="2" t="inlineStr">
        <is>
          <t>MEM-3d</t>
        </is>
      </c>
      <c r="B146" s="3" t="inlineStr">
        <is>
          <t>SERVER-SIDE ROLLUPS — project/cockpit totals aggregated server-side</t>
        </is>
      </c>
      <c r="C146" s="2" t="inlineStr">
        <is>
          <t>Performance · Memory</t>
        </is>
      </c>
      <c r="D146" s="8" t="inlineStr">
        <is>
          <t>P2</t>
        </is>
      </c>
      <c r="E146" s="2" t="inlineStr">
        <is>
          <t>Open</t>
        </is>
      </c>
      <c r="F146" s="2" t="inlineStr">
        <is>
          <t>coral-mem3-lazy-data.md</t>
        </is>
      </c>
      <c r="G146" s="2" t="inlineStr"/>
      <c r="H146" s="23" t="inlineStr">
        <is>
          <t>L1</t>
        </is>
      </c>
      <c r="I146" t="inlineStr">
        <is>
          <t>read path — pageIndex, hydration</t>
        </is>
      </c>
    </row>
    <row r="147">
      <c r="A147" s="2" t="inlineStr">
        <is>
          <t>MEM-3e</t>
        </is>
      </c>
      <c r="B147" s="3" t="inlineStr">
        <is>
          <t>WINDOWING WITHIN A DATABASE — cursor pagination + virtualised rows</t>
        </is>
      </c>
      <c r="C147" s="2" t="inlineStr">
        <is>
          <t>Performance · Memory</t>
        </is>
      </c>
      <c r="D147" s="8" t="inlineStr">
        <is>
          <t>P2</t>
        </is>
      </c>
      <c r="E147" s="2" t="inlineStr">
        <is>
          <t>Open</t>
        </is>
      </c>
      <c r="F147" s="2" t="inlineStr">
        <is>
          <t>coral-mem3-lazy-data.md</t>
        </is>
      </c>
      <c r="G147" s="2" t="inlineStr"/>
      <c r="H147" s="23" t="inlineStr">
        <is>
          <t>L1</t>
        </is>
      </c>
      <c r="I147" t="inlineStr">
        <is>
          <t>read path — pageIndex, hydration</t>
        </is>
      </c>
    </row>
    <row r="148">
      <c r="A148" s="2" t="inlineStr">
        <is>
          <t>MEM-4</t>
        </is>
      </c>
      <c r="B148" s="3" t="inlineStr"/>
      <c r="C148" s="2" t="inlineStr">
        <is>
          <t>Performance · Memory</t>
        </is>
      </c>
      <c r="D148" s="8" t="inlineStr">
        <is>
          <t>P2</t>
        </is>
      </c>
      <c r="E148" s="2" t="inlineStr">
        <is>
          <t>Open</t>
        </is>
      </c>
      <c r="F148" s="2" t="inlineStr">
        <is>
          <t>coral-memory-investigation.md:46</t>
        </is>
      </c>
      <c r="G148" s="2" t="inlineStr"/>
      <c r="H148" s="23" t="inlineStr">
        <is>
          <t>L1</t>
        </is>
      </c>
      <c r="I148" t="inlineStr">
        <is>
          <t>read path — pageIndex, hydration</t>
        </is>
      </c>
    </row>
    <row r="149">
      <c r="A149" s="2" t="inlineStr">
        <is>
          <t>MEM-5</t>
        </is>
      </c>
      <c r="B149" s="3" t="inlineStr"/>
      <c r="C149" s="2" t="inlineStr">
        <is>
          <t>Performance · Memory</t>
        </is>
      </c>
      <c r="D149" s="8" t="inlineStr">
        <is>
          <t>P2</t>
        </is>
      </c>
      <c r="E149" s="2" t="inlineStr">
        <is>
          <t>Open</t>
        </is>
      </c>
      <c r="F149" s="2" t="inlineStr">
        <is>
          <t>coral-memory-investigation.md:52</t>
        </is>
      </c>
      <c r="G149" s="2" t="inlineStr"/>
      <c r="H149" s="23" t="inlineStr">
        <is>
          <t>L1</t>
        </is>
      </c>
      <c r="I149" t="inlineStr">
        <is>
          <t>read path — pageIndex, hydration</t>
        </is>
      </c>
    </row>
    <row r="150">
      <c r="A150" s="2" t="inlineStr">
        <is>
          <t>—</t>
        </is>
      </c>
      <c r="B150" s="3" t="inlineStr">
        <is>
          <t>B1. Tenant Profile Staleness &amp; Triple Write</t>
        </is>
      </c>
      <c r="C150" s="2" t="inlineStr">
        <is>
          <t>Pro Hardening</t>
        </is>
      </c>
      <c r="D150" s="8" t="inlineStr">
        <is>
          <t>P2</t>
        </is>
      </c>
      <c r="E150" s="5" t="inlineStr">
        <is>
          <t>Done</t>
        </is>
      </c>
      <c r="F150" s="2" t="inlineStr">
        <is>
          <t>pro-hardening.md:979</t>
        </is>
      </c>
      <c r="G150" s="2" t="inlineStr"/>
      <c r="H150" s="22" t="inlineStr">
        <is>
          <t>L2</t>
        </is>
      </c>
      <c r="I150" t="inlineStr">
        <is>
          <t>modules</t>
        </is>
      </c>
    </row>
    <row r="151">
      <c r="A151" s="2" t="inlineStr">
        <is>
          <t>PROJ-7</t>
        </is>
      </c>
      <c r="B151" s="3" t="inlineStr">
        <is>
          <t>the projects list is the generic grid + type tabs (Operations/Admin/BizDev). Add at-a-glance health columns: status, % complete, margin, invoiced/quoted, deadline — so the list is a portfolio dashboard, not a raw table. (Could ride the mobile stacked-card + database work.)</t>
        </is>
      </c>
      <c r="C151" s="2" t="inlineStr">
        <is>
          <t>Projects</t>
        </is>
      </c>
      <c r="D151" s="8" t="inlineStr">
        <is>
          <t>P2</t>
        </is>
      </c>
      <c r="E151" s="2" t="inlineStr">
        <is>
          <t>Open</t>
        </is>
      </c>
      <c r="F151" s="2" t="inlineStr">
        <is>
          <t>coral-project-module.md:35</t>
        </is>
      </c>
      <c r="G151" s="2" t="inlineStr"/>
      <c r="H151" s="24" t="inlineStr">
        <is>
          <t>L3</t>
        </is>
      </c>
      <c r="I151" t="inlineStr">
        <is>
          <t>Projects</t>
        </is>
      </c>
    </row>
    <row r="152">
      <c r="A152" s="2" t="inlineStr">
        <is>
          <t>RCPT-L4b-5</t>
        </is>
      </c>
      <c r="B152" s="3" t="inlineStr">
        <is>
          <t>all of the above strings in en/nl/fr per the LOCALISATION DIRECTIVE. The modal is currently hardcoded English (AI Document Import, Drop multiple invoices or receipts, Click or drag files here, Done).</t>
        </is>
      </c>
      <c r="C152" s="2" t="inlineStr">
        <is>
          <t>Scan · Receipt bulk</t>
        </is>
      </c>
      <c r="D152" s="8" t="inlineStr">
        <is>
          <t>P2</t>
        </is>
      </c>
      <c r="E152" s="5" t="inlineStr">
        <is>
          <t>Done</t>
        </is>
      </c>
      <c r="F152" s="2" t="inlineStr">
        <is>
          <t>coral-receipt-bulk.md:81</t>
        </is>
      </c>
      <c r="G152" s="2" t="inlineStr"/>
      <c r="H152" s="24" t="inlineStr">
        <is>
          <t>L3</t>
        </is>
      </c>
      <c r="I152" t="inlineStr">
        <is>
          <t>Expenses — receipts</t>
        </is>
      </c>
    </row>
    <row r="153">
      <c r="A153" s="2" t="inlineStr">
        <is>
          <t>ADDENDUM-PARENT-LINK</t>
        </is>
      </c>
      <c r="B153" s="3" t="inlineStr">
        <is>
          <t>bring the addendum link up to credit-note parity:</t>
        </is>
      </c>
      <c r="C153" s="2" t="inlineStr">
        <is>
          <t>Triage / core</t>
        </is>
      </c>
      <c r="D153" s="8" t="inlineStr">
        <is>
          <t>P2</t>
        </is>
      </c>
      <c r="E153" s="2" t="inlineStr">
        <is>
          <t>Open</t>
        </is>
      </c>
      <c r="F153" s="2" t="inlineStr">
        <is>
          <t>ground-zero-triage.md:532</t>
        </is>
      </c>
      <c r="G153" s="2" t="inlineStr"/>
      <c r="H153" s="24" t="inlineStr">
        <is>
          <t>L3</t>
        </is>
      </c>
      <c r="I153" t="inlineStr">
        <is>
          <t>Quotations engine</t>
        </is>
      </c>
    </row>
    <row r="154">
      <c r="A154" s="2" t="inlineStr">
        <is>
          <t>ATTACH-EVERYWHERE</t>
        </is>
      </c>
      <c r="B154" s="3" t="inlineStr">
        <is>
          <t>no consistent "attach files to a record" anywhere (Florin 2026-07-04: "nowhere — not sales, quotes, projects, invoices"). Foundation EXISTS: uploadFileAction/listRecordFiles/deleteFileAction keyed by t_{tenant}/{recordType}/{recordId}/…; only the send modals use it. GAP: no reusable attachments U...</t>
        </is>
      </c>
      <c r="C154" s="2" t="inlineStr">
        <is>
          <t>Triage / core</t>
        </is>
      </c>
      <c r="D154" s="8" t="inlineStr">
        <is>
          <t>P2</t>
        </is>
      </c>
      <c r="E154" s="5" t="inlineStr">
        <is>
          <t>Done</t>
        </is>
      </c>
      <c r="F154" s="2" t="inlineStr">
        <is>
          <t>ground-zero-triage.md:1113</t>
        </is>
      </c>
      <c r="G154" s="2" t="inlineStr"/>
      <c r="H154" s="23" t="inlineStr">
        <is>
          <t>L1</t>
        </is>
      </c>
      <c r="I154" t="inlineStr">
        <is>
          <t>document engine — attachments</t>
        </is>
      </c>
    </row>
    <row r="155">
      <c r="A155" s="2" t="inlineStr">
        <is>
          <t>B1</t>
        </is>
      </c>
      <c r="B155" s="3" t="inlineStr">
        <is>
          <t>(using HrTeam logic) — enforce role TENANT_ENTERPRISE_WORKFORCE: crew sees ONLY items assigned to them OR self-created (tasks, shifts); Projects appears read-only + assigned-only in selects; owner/admin items hidden from crew. Team-leader = own + team; owner = all. Server-side query scoping AND U...</t>
        </is>
      </c>
      <c r="C155" s="2" t="inlineStr">
        <is>
          <t>Triage / core</t>
        </is>
      </c>
      <c r="D155" s="8" t="inlineStr">
        <is>
          <t>P2</t>
        </is>
      </c>
      <c r="E155" s="5" t="inlineStr">
        <is>
          <t>Done</t>
        </is>
      </c>
      <c r="F155" s="2" t="inlineStr">
        <is>
          <t>ground-zero-triage.md:722</t>
        </is>
      </c>
      <c r="G155" s="2" t="inlineStr"/>
      <c r="H155" s="24" t="inlineStr">
        <is>
          <t>L3</t>
        </is>
      </c>
      <c r="I155" t="inlineStr">
        <is>
          <t>grid</t>
        </is>
      </c>
    </row>
    <row r="156">
      <c r="A156" s="2" t="inlineStr">
        <is>
          <t>B2</t>
        </is>
      </c>
      <c r="B156" s="3" t="inlineStr">
        <is>
          <t>the WF-1..6 redesign must actually render for the WORKFORCE role (Florin tests as admin; the workforce view may be unchanged — that's the "app state unchanged for workforce members" report). Verify logged in AS a workforce member.</t>
        </is>
      </c>
      <c r="C156" s="2" t="inlineStr">
        <is>
          <t>Triage / core</t>
        </is>
      </c>
      <c r="D156" s="8" t="inlineStr">
        <is>
          <t>P2</t>
        </is>
      </c>
      <c r="E156" s="5" t="inlineStr">
        <is>
          <t>Done</t>
        </is>
      </c>
      <c r="F156" s="2" t="inlineStr">
        <is>
          <t>ground-zero-triage.md:723</t>
        </is>
      </c>
      <c r="G156" s="2" t="inlineStr"/>
      <c r="H156" s="24" t="inlineStr">
        <is>
          <t>L3</t>
        </is>
      </c>
      <c r="I156" t="inlineStr">
        <is>
          <t>grid</t>
        </is>
      </c>
    </row>
    <row r="157">
      <c r="A157" s="2" t="inlineStr">
        <is>
          <t>B3</t>
        </is>
      </c>
      <c r="B157" s="3" t="inlineStr">
        <is>
          <t>worker's "My Schedule" shows only their shifts; admin sees the team but labeled "Workforce/Team Schedule", not "My Schedule".</t>
        </is>
      </c>
      <c r="C157" s="2" t="inlineStr">
        <is>
          <t>Triage / core</t>
        </is>
      </c>
      <c r="D157" s="8" t="inlineStr">
        <is>
          <t>P2</t>
        </is>
      </c>
      <c r="E157" s="5" t="inlineStr">
        <is>
          <t>Done</t>
        </is>
      </c>
      <c r="F157" s="2" t="inlineStr">
        <is>
          <t>ground-zero-triage.md:724</t>
        </is>
      </c>
      <c r="G157" s="2" t="inlineStr"/>
      <c r="H157" s="24" t="inlineStr">
        <is>
          <t>L3</t>
        </is>
      </c>
      <c r="I157" t="inlineStr">
        <is>
          <t>grid</t>
        </is>
      </c>
    </row>
    <row r="158">
      <c r="A158" s="2" t="inlineStr">
        <is>
          <t>CLOCK-APPROVAL</t>
        </is>
      </c>
      <c r="B158" s="3" t="inlineStr">
        <is>
          <t>(Florin: "manual check from foreman or owner to establish payables") — add an approval state to ClockEntry (e.g. approvalStatus: auto-approved vs pending, + approver/approvedAt). In-geofence shift clocks = auto-approved/payable; manual and off-site "clock without shift" entries = PENDING. Foreman...</t>
        </is>
      </c>
      <c r="C158" s="2" t="inlineStr">
        <is>
          <t>Triage / core</t>
        </is>
      </c>
      <c r="D158" s="8" t="inlineStr">
        <is>
          <t>P2</t>
        </is>
      </c>
      <c r="E158" s="5" t="inlineStr">
        <is>
          <t>Done</t>
        </is>
      </c>
      <c r="F158" s="2" t="inlineStr">
        <is>
          <t>ground-zero-triage.md:1065</t>
        </is>
      </c>
      <c r="G158" s="2" t="inlineStr"/>
      <c r="H158" s="24" t="inlineStr">
        <is>
          <t>L3</t>
        </is>
      </c>
      <c r="I158" t="inlineStr">
        <is>
          <t>HR — clock entries</t>
        </is>
      </c>
    </row>
    <row r="159">
      <c r="A159" s="2" t="inlineStr">
        <is>
          <t>CLOCK-GEO-CAPTURE</t>
        </is>
      </c>
      <c r="B159" s="3" t="inlineStr">
        <is>
          <t>on every clock-in/out (shift or manual) capture geolocation into the existing clockIn/OutLatitude/Longitude; show the captured location on the timesheet entry. Manual clock-in ALSO captures location (Florin: "the manual clock in captures the location in the timesheet").</t>
        </is>
      </c>
      <c r="C159" s="2" t="inlineStr">
        <is>
          <t>Triage / core</t>
        </is>
      </c>
      <c r="D159" s="8" t="inlineStr">
        <is>
          <t>P2</t>
        </is>
      </c>
      <c r="E159" s="5" t="inlineStr">
        <is>
          <t>Done</t>
        </is>
      </c>
      <c r="F159" s="2" t="inlineStr">
        <is>
          <t>ground-zero-triage.md:1063</t>
        </is>
      </c>
      <c r="G159" s="2" t="inlineStr"/>
      <c r="H159" s="24" t="inlineStr">
        <is>
          <t>L3</t>
        </is>
      </c>
      <c r="I159" t="inlineStr">
        <is>
          <t>HR — clock entries</t>
        </is>
      </c>
    </row>
    <row r="160">
      <c r="A160" s="2" t="inlineStr">
        <is>
          <t>CLOCK-GEOFENCE</t>
        </is>
      </c>
      <c r="B160" s="3" t="inlineStr">
        <is>
          <t>(Florin refined 2026-07-05: no hard block on the worker, but a max distance gates the SHIFT clock) — a SHIFT clock-in is allowed ONLY when the captured location is within a max distance of the shift's project SITE location (configurable radius, default ~150m). WITHIN radius → shift ClockEntry cre...</t>
        </is>
      </c>
      <c r="C160" s="2" t="inlineStr">
        <is>
          <t>Triage / core</t>
        </is>
      </c>
      <c r="D160" s="8" t="inlineStr">
        <is>
          <t>P2</t>
        </is>
      </c>
      <c r="E160" s="5" t="inlineStr">
        <is>
          <t>Done</t>
        </is>
      </c>
      <c r="F160" s="2" t="inlineStr">
        <is>
          <t>ground-zero-triage.md:1064</t>
        </is>
      </c>
      <c r="G160" s="2" t="inlineStr"/>
      <c r="H160" s="24" t="inlineStr">
        <is>
          <t>L3</t>
        </is>
      </c>
      <c r="I160" t="inlineStr">
        <is>
          <t>HR — clock entries</t>
        </is>
      </c>
    </row>
    <row r="161">
      <c r="A161" s="2" t="inlineStr">
        <is>
          <t>CLOCK-OUT-LOCATION-CONSISTENCY</t>
        </is>
      </c>
      <c r="B161" s="3" t="inlineStr">
        <is>
          <t>clock-out asks for location on desktop but not mobile (Florin 2026-07-12). Two divergent clock-out paths + a real bug:</t>
        </is>
      </c>
      <c r="C161" s="2" t="inlineStr">
        <is>
          <t>Triage / core</t>
        </is>
      </c>
      <c r="D161" s="8" t="inlineStr">
        <is>
          <t>P2</t>
        </is>
      </c>
      <c r="E161" s="2" t="inlineStr">
        <is>
          <t>Open</t>
        </is>
      </c>
      <c r="F161" s="2" t="inlineStr">
        <is>
          <t>ground-zero-triage.md:479</t>
        </is>
      </c>
      <c r="G161" s="2" t="inlineStr"/>
      <c r="H161" s="24" t="inlineStr">
        <is>
          <t>L3</t>
        </is>
      </c>
      <c r="I161" t="inlineStr">
        <is>
          <t>HR — clock entries</t>
        </is>
      </c>
    </row>
    <row r="162">
      <c r="A162" s="2" t="inlineStr">
        <is>
          <t>DATEPICKER-MONTH-YEAR-DROPDOWN</t>
        </is>
      </c>
      <c r="B162" s="3" t="inlineStr">
        <is>
          <t>src/components/ui/calendar.tsx (react-day-picker v9) sets no captionLayout → prev/next arrows ONLY (scrolling from today back to Feb 1980 is absurd). FIX: set captionLayout="dropdown" + range (startMonth={new Date(1970,0)} … endMonth={new Date(currentYear+5,11)}) so clicking the month opens a mon...</t>
        </is>
      </c>
      <c r="C162" s="2" t="inlineStr">
        <is>
          <t>Triage / core</t>
        </is>
      </c>
      <c r="D162" s="8" t="inlineStr">
        <is>
          <t>P2</t>
        </is>
      </c>
      <c r="E162" s="5" t="inlineStr">
        <is>
          <t>Done</t>
        </is>
      </c>
      <c r="F162" s="2" t="inlineStr">
        <is>
          <t>ground-zero-triage.md:362</t>
        </is>
      </c>
      <c r="G162" s="2" t="inlineStr"/>
      <c r="H162" s="26" t="inlineStr">
        <is>
          <t>L4</t>
        </is>
      </c>
      <c r="I162" t="inlineStr">
        <is>
          <t>design system</t>
        </is>
      </c>
    </row>
    <row r="163">
      <c r="A163" s="2" t="inlineStr">
        <is>
          <t>DB-SCHEMA-VISIBILITY-BTN</t>
        </is>
      </c>
      <c r="B163" s="3" t="inlineStr">
        <is>
          <t>in the database schema editor, add a visibility (show/hide) toggle next to the trash icon on each property row, so a column can be hidden from the schema panel directly instead of hunting for the properties dropdown. Use the eye / eye-off icons already imported in PropertiesDropdown.tsx:4 (Eye, E...</t>
        </is>
      </c>
      <c r="C163" s="2" t="inlineStr">
        <is>
          <t>Triage / core</t>
        </is>
      </c>
      <c r="D163" s="8" t="inlineStr">
        <is>
          <t>P2</t>
        </is>
      </c>
      <c r="E163" s="2" t="inlineStr">
        <is>
          <t>Open</t>
        </is>
      </c>
      <c r="F163" s="2" t="inlineStr">
        <is>
          <t>ground-zero-triage.md:286</t>
        </is>
      </c>
      <c r="G163" s="2" t="inlineStr"/>
      <c r="H163" s="22" t="inlineStr">
        <is>
          <t>L2</t>
        </is>
      </c>
      <c r="I163" t="inlineStr">
        <is>
          <t>Database / Records module</t>
        </is>
      </c>
    </row>
    <row r="164">
      <c r="A164" s="2" t="inlineStr">
        <is>
          <t>DOC-PROPOSAL</t>
        </is>
      </c>
      <c r="B164" s="3" t="inlineStr">
        <is>
          <t>a lightweight proposal document, reusing the quotation engine (do NOT fork a second engine):</t>
        </is>
      </c>
      <c r="C164" s="2" t="inlineStr">
        <is>
          <t>Triage / core</t>
        </is>
      </c>
      <c r="D164" s="8" t="inlineStr">
        <is>
          <t>P2</t>
        </is>
      </c>
      <c r="E164" s="2" t="inlineStr">
        <is>
          <t>Open</t>
        </is>
      </c>
      <c r="F164" s="2" t="inlineStr">
        <is>
          <t>ground-zero-triage.md:543</t>
        </is>
      </c>
      <c r="G164" s="2" t="inlineStr"/>
      <c r="H164" s="23" t="inlineStr">
        <is>
          <t>L1</t>
        </is>
      </c>
      <c r="I164" t="inlineStr">
        <is>
          <t>document engine — archive</t>
        </is>
      </c>
    </row>
    <row r="165">
      <c r="A165" s="2" t="inlineStr">
        <is>
          <t>DOC-TEMPLATE-POLISH</t>
        </is>
      </c>
      <c r="B165" s="3" t="inlineStr"/>
      <c r="C165" s="2" t="inlineStr">
        <is>
          <t>Triage / core</t>
        </is>
      </c>
      <c r="D165" s="8" t="inlineStr">
        <is>
          <t>P2</t>
        </is>
      </c>
      <c r="E165" s="2" t="inlineStr">
        <is>
          <t>Open</t>
        </is>
      </c>
      <c r="F165" s="2" t="inlineStr">
        <is>
          <t>ground-zero-triage.md:392</t>
        </is>
      </c>
      <c r="G165" s="2" t="inlineStr"/>
      <c r="H165" s="23" t="inlineStr">
        <is>
          <t>L1</t>
        </is>
      </c>
      <c r="I165" t="inlineStr">
        <is>
          <t>document engine — archive</t>
        </is>
      </c>
    </row>
    <row r="166">
      <c r="A166" s="2" t="inlineStr">
        <is>
          <t>ENGINE-ADD-BLOCK-AFFORDANCES</t>
        </is>
      </c>
      <c r="B166" s="3" t="inlineStr">
        <is>
          <t>stop making Florin scroll to find buttons (same pass as the DnD rebuild):</t>
        </is>
      </c>
      <c r="C166" s="2" t="inlineStr">
        <is>
          <t>Triage / core</t>
        </is>
      </c>
      <c r="D166" s="8" t="inlineStr">
        <is>
          <t>P2</t>
        </is>
      </c>
      <c r="E166" s="2" t="inlineStr">
        <is>
          <t>Open</t>
        </is>
      </c>
      <c r="F166" s="2" t="inlineStr">
        <is>
          <t>ground-zero-triage.md:580</t>
        </is>
      </c>
      <c r="G166" s="2" t="inlineStr"/>
      <c r="H166" s="24" t="inlineStr">
        <is>
          <t>L3</t>
        </is>
      </c>
      <c r="I166" t="inlineStr">
        <is>
          <t>grid / relations engine</t>
        </is>
      </c>
    </row>
    <row r="167">
      <c r="A167" s="2" t="inlineStr">
        <is>
          <t>ENGINE-ALIGN</t>
        </is>
      </c>
      <c r="B167" s="3" t="inlineStr">
        <is>
          <t>quote engine calc element/value alignment off (right-align numbers, consistent columns; ties ENGINE-ROW-BREAK). Measure + align. ENGINE-ALIGN: align quote engine calc columns/values.</t>
        </is>
      </c>
      <c r="C167" s="2" t="inlineStr">
        <is>
          <t>Triage / core</t>
        </is>
      </c>
      <c r="D167" s="8" t="inlineStr">
        <is>
          <t>P2</t>
        </is>
      </c>
      <c r="E167" s="5" t="inlineStr">
        <is>
          <t>Done</t>
        </is>
      </c>
      <c r="F167" s="2" t="inlineStr">
        <is>
          <t>ground-zero-triage.md:1159</t>
        </is>
      </c>
      <c r="G167" s="2" t="inlineStr"/>
      <c r="H167" s="24" t="inlineStr">
        <is>
          <t>L3</t>
        </is>
      </c>
      <c r="I167" t="inlineStr">
        <is>
          <t>grid / relations engine</t>
        </is>
      </c>
    </row>
    <row r="168">
      <c r="A168" s="2" t="inlineStr">
        <is>
          <t>EXPENSE-PROJECT-SELECT-EMPTY</t>
        </is>
      </c>
      <c r="B168" s="3" t="inlineStr">
        <is>
          <t>the project select IS a functional SearchableSelect already (L947), but its options = Object.values(pages).filter(db-1) (L75) are empty because the projects DB (db-1) isn't hydrated into the store when the modal opens. FIX: ensure db-1 (projects) pages are loaded/available to the modal (fetch on ...</t>
        </is>
      </c>
      <c r="C168" s="2" t="inlineStr">
        <is>
          <t>Triage / core</t>
        </is>
      </c>
      <c r="D168" s="8" t="inlineStr">
        <is>
          <t>P2</t>
        </is>
      </c>
      <c r="E168" s="5" t="inlineStr">
        <is>
          <t>Done</t>
        </is>
      </c>
      <c r="F168" s="2" t="inlineStr">
        <is>
          <t>ground-zero-triage.md:361</t>
        </is>
      </c>
      <c r="G168" s="2" t="inlineStr"/>
      <c r="H168" s="24" t="inlineStr">
        <is>
          <t>L3</t>
        </is>
      </c>
      <c r="I168" t="inlineStr">
        <is>
          <t>Expenses</t>
        </is>
      </c>
    </row>
    <row r="169">
      <c r="A169" s="2" t="inlineStr">
        <is>
          <t>GRID-VIEW-FILTER-SCOPE</t>
        </is>
      </c>
      <c r="B169" s="3" t="inlineStr">
        <is>
          <t>filters leak across database views; views lose their point (Florin 2026-07-05). ROOT CAUSE (Planner-traced): model supports per-view DatabaseView.filters/sorts and DatabaseClone threads a distinct viewId per tab, BUT every read falls back to the deprecated shared database.activeFilters via active...</t>
        </is>
      </c>
      <c r="C169" s="2" t="inlineStr">
        <is>
          <t>Triage / core</t>
        </is>
      </c>
      <c r="D169" s="8" t="inlineStr">
        <is>
          <t>P2</t>
        </is>
      </c>
      <c r="E169" s="5" t="inlineStr">
        <is>
          <t>Done</t>
        </is>
      </c>
      <c r="F169" s="2" t="inlineStr">
        <is>
          <t>ground-zero-triage.md:1111</t>
        </is>
      </c>
      <c r="G169" s="2" t="inlineStr"/>
      <c r="H169" s="24" t="inlineStr">
        <is>
          <t>L3</t>
        </is>
      </c>
      <c r="I169" t="inlineStr">
        <is>
          <t>grid — NotionGrid</t>
        </is>
      </c>
    </row>
    <row r="170">
      <c r="A170" s="2" t="inlineStr">
        <is>
          <t>HR-1</t>
        </is>
      </c>
      <c r="B170" s="3" t="inlineStr">
        <is>
          <t>run GET /api/admin/backfill-worker-ids (dry-run). Expect ~38 rows to fix (37 shifts + 1 clock entry) plus a list of unfixable rows (employees with userId = NULL) and the 6 orphans (3 shifts + 3 clock entries matching neither table — these need manual attribution, report them, never guess).</t>
        </is>
      </c>
      <c r="C170" s="2" t="inlineStr">
        <is>
          <t>Triage / core</t>
        </is>
      </c>
      <c r="D170" s="8" t="inlineStr">
        <is>
          <t>P2</t>
        </is>
      </c>
      <c r="E170" s="5" t="inlineStr">
        <is>
          <t>Done</t>
        </is>
      </c>
      <c r="F170" s="2" t="inlineStr">
        <is>
          <t>ground-zero-triage.md:277</t>
        </is>
      </c>
      <c r="G170" s="2" t="inlineStr"/>
      <c r="H170" s="24" t="inlineStr">
        <is>
          <t>L3</t>
        </is>
      </c>
      <c r="I170" t="inlineStr">
        <is>
          <t>HR / Workforce</t>
        </is>
      </c>
    </row>
    <row r="171">
      <c r="A171" s="2" t="inlineStr">
        <is>
          <t>HR-2</t>
        </is>
      </c>
      <c r="B171" s="3" t="inlineStr">
        <is>
          <t>review, then POST to apply (Florin-gated). This alone should surface the 37 hidden shifts.</t>
        </is>
      </c>
      <c r="C171" s="2" t="inlineStr">
        <is>
          <t>Triage / core</t>
        </is>
      </c>
      <c r="D171" s="8" t="inlineStr">
        <is>
          <t>P2</t>
        </is>
      </c>
      <c r="E171" s="5" t="inlineStr">
        <is>
          <t>Done</t>
        </is>
      </c>
      <c r="F171" s="2" t="inlineStr">
        <is>
          <t>ground-zero-triage.md:278</t>
        </is>
      </c>
      <c r="G171" s="2" t="inlineStr"/>
      <c r="H171" s="24" t="inlineStr">
        <is>
          <t>L3</t>
        </is>
      </c>
      <c r="I171" t="inlineStr">
        <is>
          <t>HR / Workforce</t>
        </is>
      </c>
    </row>
    <row r="172">
      <c r="A172" s="2" t="inlineStr">
        <is>
          <t>HR-3</t>
        </is>
      </c>
      <c r="B172" s="3" t="inlineStr">
        <is>
          <t>fix the Timesheets page fetch/filter — 20 complete entries exist but none render. Independent of ids; do not assume HR-2 fixes it.</t>
        </is>
      </c>
      <c r="C172" s="2" t="inlineStr">
        <is>
          <t>Triage / core</t>
        </is>
      </c>
      <c r="D172" s="8" t="inlineStr">
        <is>
          <t>P2</t>
        </is>
      </c>
      <c r="E172" s="2" t="inlineStr">
        <is>
          <t>Open</t>
        </is>
      </c>
      <c r="F172" s="2" t="inlineStr">
        <is>
          <t>ground-zero-triage.md:279</t>
        </is>
      </c>
      <c r="G172" s="2" t="inlineStr"/>
      <c r="H172" s="24" t="inlineStr">
        <is>
          <t>L3</t>
        </is>
      </c>
      <c r="I172" t="inlineStr">
        <is>
          <t>HR / Workforce</t>
        </is>
      </c>
    </row>
    <row r="173">
      <c r="A173" s="2" t="inlineStr">
        <is>
          <t>HR-4</t>
        </is>
      </c>
      <c r="B173" s="3" t="inlineStr">
        <is>
          <t>the Approvals page is not under the module tab bar and shows no detail; the Reports page crashes ("Failed to load reports"). Both were built outside the established module-tab pattern. Re-judge them only after HR-2/HR-3 — "0 openstaand" was largely a consequence of invisible data. Requirement sta...</t>
        </is>
      </c>
      <c r="C173" s="2" t="inlineStr">
        <is>
          <t>Triage / core</t>
        </is>
      </c>
      <c r="D173" s="8" t="inlineStr">
        <is>
          <t>P2</t>
        </is>
      </c>
      <c r="E173" s="2" t="inlineStr">
        <is>
          <t>Open</t>
        </is>
      </c>
      <c r="F173" s="2" t="inlineStr">
        <is>
          <t>ground-zero-triage.md:280</t>
        </is>
      </c>
      <c r="G173" s="2" t="inlineStr"/>
      <c r="H173" s="24" t="inlineStr">
        <is>
          <t>L3</t>
        </is>
      </c>
      <c r="I173" t="inlineStr">
        <is>
          <t>HR / Workforce</t>
        </is>
      </c>
    </row>
    <row r="174">
      <c r="A174" s="2" t="inlineStr">
        <is>
          <t>HR-TIMESHEETS-RICH-UI</t>
        </is>
      </c>
      <c r="B174" s="3" t="inlineStr">
        <is>
          <t>port the "beautiful options" from the mobile worker timesheets into the HR module (Florin: nice-to-have, he'll swing between apps for now). The worker src/components/time-tracker/pages/Performance.tsx has: StatCards (Days Present, Hours Worked, +others), a date-range period filter (default curren...</t>
        </is>
      </c>
      <c r="C174" s="2" t="inlineStr">
        <is>
          <t>Triage / core</t>
        </is>
      </c>
      <c r="D174" s="8" t="inlineStr">
        <is>
          <t>P2</t>
        </is>
      </c>
      <c r="E174" s="2" t="inlineStr">
        <is>
          <t>Open</t>
        </is>
      </c>
      <c r="F174" s="2" t="inlineStr">
        <is>
          <t>ground-zero-triage.md:408</t>
        </is>
      </c>
      <c r="G174" s="2" t="inlineStr"/>
      <c r="H174" s="24" t="inlineStr">
        <is>
          <t>L3</t>
        </is>
      </c>
      <c r="I174" t="inlineStr">
        <is>
          <t>HR / Workforce</t>
        </is>
      </c>
    </row>
    <row r="175">
      <c r="A175" s="2" t="inlineStr">
        <is>
          <t>JOURNAL-EDITOR-REWORK</t>
        </is>
      </c>
      <c r="B175" s="3" t="inlineStr">
        <is>
          <t>Florin: "the journal editor is another horror story — implementation suffers greatly." Known concrete issues from the code (JournalCard.tsx): competing autoFocus on the quick-add textarea (L309) and the inline edit textarea (L373) which fight the modal's focus trap (see RECORD-DETAIL-PASTE-FOCUS ...</t>
        </is>
      </c>
      <c r="C175" s="2" t="inlineStr">
        <is>
          <t>Triage / core</t>
        </is>
      </c>
      <c r="D175" s="8" t="inlineStr">
        <is>
          <t>P2</t>
        </is>
      </c>
      <c r="E175" s="2" t="inlineStr">
        <is>
          <t>Open</t>
        </is>
      </c>
      <c r="F175" s="2" t="inlineStr">
        <is>
          <t>ground-zero-triage.md:589</t>
        </is>
      </c>
      <c r="G175" s="2" t="inlineStr"/>
      <c r="H175" s="24" t="inlineStr">
        <is>
          <t>L3</t>
        </is>
      </c>
      <c r="I175" t="inlineStr">
        <is>
          <t>Projects — journal</t>
        </is>
      </c>
    </row>
    <row r="176">
      <c r="A176" s="2" t="inlineStr">
        <is>
          <t>MODAL-HAZE-SUBPIXEL-FINAL</t>
        </is>
      </c>
      <c r="B176" s="3" t="inlineStr">
        <is>
          <t>ROOT CAUSE (Planner-traced): src/components/ui/dialog.tsx L58 centers every dialog via translate-x-[-50%] translate-y-[-50%] (Radix default). On any odd panel width/height that resolves to a half-pixel, and the translate + the zoom-in-95/slide- open animation + the L23 overlay backdrop-blur-sm ke...</t>
        </is>
      </c>
      <c r="C176" s="2" t="inlineStr">
        <is>
          <t>Triage / core</t>
        </is>
      </c>
      <c r="D176" s="8" t="inlineStr">
        <is>
          <t>P2</t>
        </is>
      </c>
      <c r="E176" s="2" t="inlineStr">
        <is>
          <t>Open</t>
        </is>
      </c>
      <c r="F176" s="2" t="inlineStr">
        <is>
          <t>ground-zero-triage.md:383</t>
        </is>
      </c>
      <c r="G176" s="2" t="inlineStr"/>
      <c r="H176" s="27" t="inlineStr">
        <is>
          <t>L0</t>
        </is>
      </c>
      <c r="I176" t="inlineStr">
        <is>
          <t>interaction — overlay</t>
        </is>
      </c>
    </row>
    <row r="177">
      <c r="A177" s="2" t="inlineStr">
        <is>
          <t>MODAL-REMOVE-JOURNAL-STUB</t>
        </is>
      </c>
      <c r="B177" s="3" t="inlineStr">
        <is>
          <t>detail modal: remove the legacy "Start your project journal" section (superseded by the new journal card). MODAL-REMOVE-JOURNAL-STUB: drop legacy journal stub from detail modal.</t>
        </is>
      </c>
      <c r="C177" s="2" t="inlineStr">
        <is>
          <t>Triage / core</t>
        </is>
      </c>
      <c r="D177" s="8" t="inlineStr">
        <is>
          <t>P2</t>
        </is>
      </c>
      <c r="E177" s="5" t="inlineStr">
        <is>
          <t>Done</t>
        </is>
      </c>
      <c r="F177" s="2" t="inlineStr">
        <is>
          <t>ground-zero-triage.md:1148</t>
        </is>
      </c>
      <c r="G177" s="2" t="inlineStr"/>
      <c r="H177" s="27" t="inlineStr">
        <is>
          <t>L0</t>
        </is>
      </c>
      <c r="I177" t="inlineStr">
        <is>
          <t>interaction — overlay</t>
        </is>
      </c>
    </row>
    <row r="178">
      <c r="A178" s="2" t="inlineStr">
        <is>
          <t>OCC-5-CRON-NO-OP-WRITES</t>
        </is>
      </c>
      <c r="B178" s="3" t="inlineStr">
        <is>
          <t>stop gratuitous updatedAt bumps. Audit the cron/system writers and skip the write entirely when the computed value equals the stored one (invoice-overdue already checks status before writing — mirror that in vat-backfill, backfill-peppol, and the payment-match paths). Fewer bumps = fewer stale ba...</t>
        </is>
      </c>
      <c r="C178" s="2" t="inlineStr">
        <is>
          <t>Triage / core</t>
        </is>
      </c>
      <c r="D178" s="8" t="inlineStr">
        <is>
          <t>P2</t>
        </is>
      </c>
      <c r="E178" s="2" t="inlineStr">
        <is>
          <t>Open</t>
        </is>
      </c>
      <c r="F178" s="2" t="inlineStr">
        <is>
          <t>ground-zero-triage.md:111</t>
        </is>
      </c>
      <c r="G178" s="2" t="inlineStr"/>
      <c r="H178" s="23" t="inlineStr">
        <is>
          <t>L1</t>
        </is>
      </c>
      <c r="I178" t="inlineStr">
        <is>
          <t>write path — concurrency</t>
        </is>
      </c>
    </row>
    <row r="179">
      <c r="A179" s="2" t="inlineStr">
        <is>
          <t>PI-INFER-VAT-CURRENCY</t>
        </is>
      </c>
      <c r="B179" s="3" t="inlineStr">
        <is>
          <t>on the incoming-invoice edit screen, VAT regime and currency should be inferred from the document, with the manual settings kept as a backup/override (Florin). Today both default to '' and are only read back from stored props (PurchaseInvoiceEngine.tsx L205-206, L281-282). Sources already exist: ...</t>
        </is>
      </c>
      <c r="C179" s="2" t="inlineStr">
        <is>
          <t>Triage / core</t>
        </is>
      </c>
      <c r="D179" s="8" t="inlineStr">
        <is>
          <t>P2</t>
        </is>
      </c>
      <c r="E179" s="2" t="inlineStr">
        <is>
          <t>Open</t>
        </is>
      </c>
      <c r="F179" s="2" t="inlineStr">
        <is>
          <t>ground-zero-triage.md:588</t>
        </is>
      </c>
      <c r="G179" s="2" t="inlineStr"/>
      <c r="H179" s="24" t="inlineStr">
        <is>
          <t>L3</t>
        </is>
      </c>
      <c r="I179" t="inlineStr">
        <is>
          <t>Finance — purchase invoices</t>
        </is>
      </c>
    </row>
    <row r="180">
      <c r="A180" s="2" t="inlineStr">
        <is>
          <t>PI-PROJECT-SELECT-SEARCH</t>
        </is>
      </c>
      <c r="B180" s="3" t="inlineStr">
        <is>
          <t>on the incoming-invoice edit screen the "Gekoppeld Project" field uses SelectDropdown (PurchaseInvoiceEngine.tsx L645-651) — a different component from the searchable select used elsewhere — and its search field does not filter. FIX: either fix SelectDropdown's search filtering (it's used in othe...</t>
        </is>
      </c>
      <c r="C180" s="2" t="inlineStr">
        <is>
          <t>Triage / core</t>
        </is>
      </c>
      <c r="D180" s="8" t="inlineStr">
        <is>
          <t>P2</t>
        </is>
      </c>
      <c r="E180" s="2" t="inlineStr">
        <is>
          <t>Open</t>
        </is>
      </c>
      <c r="F180" s="2" t="inlineStr">
        <is>
          <t>ground-zero-triage.md:587</t>
        </is>
      </c>
      <c r="G180" s="2" t="inlineStr"/>
      <c r="H180" s="24" t="inlineStr">
        <is>
          <t>L3</t>
        </is>
      </c>
      <c r="I180" t="inlineStr">
        <is>
          <t>Finance — purchase invoices</t>
        </is>
      </c>
    </row>
    <row r="181">
      <c r="A181" s="2" t="inlineStr">
        <is>
          <t>QUOTE-ANALYSIS-ADAPT</t>
        </is>
      </c>
      <c r="B181" s="3" t="inlineStr">
        <is>
          <t>adapt the analysis card to a QUOTE: quoted amount, workforce cost, material/overhead, margin &amp; profit, quote-pertinent indicators (replace the project-budget version when databaseId is db-quotations). QUOTE-ANALYSIS-ADAPT: quote-specific financial analysis.</t>
        </is>
      </c>
      <c r="C181" s="2" t="inlineStr">
        <is>
          <t>Triage / core</t>
        </is>
      </c>
      <c r="D181" s="8" t="inlineStr">
        <is>
          <t>P2</t>
        </is>
      </c>
      <c r="E181" s="5" t="inlineStr">
        <is>
          <t>Done</t>
        </is>
      </c>
      <c r="F181" s="2" t="inlineStr">
        <is>
          <t>ground-zero-triage.md:1157</t>
        </is>
      </c>
      <c r="G181" s="2" t="inlineStr"/>
      <c r="H181" s="24" t="inlineStr">
        <is>
          <t>L3</t>
        </is>
      </c>
      <c r="I181" t="inlineStr">
        <is>
          <t>Quotations engine</t>
        </is>
      </c>
    </row>
    <row r="182">
      <c r="A182" s="2" t="inlineStr">
        <is>
          <t>QUOTE-ANALYSIS-TOOLTIP</t>
        </is>
      </c>
      <c r="B182" s="3" t="inlineStr">
        <is>
          <t>remove the black tooltip on the financial-analysis card (useless). QUOTE-ANALYSIS-TOOLTIP: remove black tooltip.</t>
        </is>
      </c>
      <c r="C182" s="2" t="inlineStr">
        <is>
          <t>Triage / core</t>
        </is>
      </c>
      <c r="D182" s="8" t="inlineStr">
        <is>
          <t>P2</t>
        </is>
      </c>
      <c r="E182" s="5" t="inlineStr">
        <is>
          <t>Done</t>
        </is>
      </c>
      <c r="F182" s="2" t="inlineStr">
        <is>
          <t>ground-zero-triage.md:1156</t>
        </is>
      </c>
      <c r="G182" s="2" t="inlineStr"/>
      <c r="H182" s="24" t="inlineStr">
        <is>
          <t>L3</t>
        </is>
      </c>
      <c r="I182" t="inlineStr">
        <is>
          <t>Quotations engine</t>
        </is>
      </c>
    </row>
    <row r="183">
      <c r="A183" s="2" t="inlineStr">
        <is>
          <t>QUOTE-EDIT-NAV</t>
        </is>
      </c>
      <c r="B183" s="3" t="inlineStr">
        <is>
          <t>the quotation details-modal "Edit quotation" button routes to the STATUS pipeline kanban (/admin/quotations) instead of the engine (/admin/quotations/[id]). Find the button; point it at the [id] engine route. VERIFY: Edit → opens the quote engine. QUOTE-EDIT-NAV: edit button opens quote engine no...</t>
        </is>
      </c>
      <c r="C183" s="2" t="inlineStr">
        <is>
          <t>Triage / core</t>
        </is>
      </c>
      <c r="D183" s="8" t="inlineStr">
        <is>
          <t>P2</t>
        </is>
      </c>
      <c r="E183" s="5" t="inlineStr">
        <is>
          <t>Done</t>
        </is>
      </c>
      <c r="F183" s="2" t="inlineStr">
        <is>
          <t>ground-zero-triage.md:1155</t>
        </is>
      </c>
      <c r="G183" s="2" t="inlineStr"/>
      <c r="H183" s="24" t="inlineStr">
        <is>
          <t>L3</t>
        </is>
      </c>
      <c r="I183" t="inlineStr">
        <is>
          <t>Quotations engine</t>
        </is>
      </c>
    </row>
    <row r="184">
      <c r="A184" s="2" t="inlineStr">
        <is>
          <t>QUOTE-MEER-ACTIES</t>
        </is>
      </c>
      <c r="B184" s="3" t="inlineStr">
        <is>
          <t>"Meer acties" button: localize (i18n) + fix blur (same compositing family as MODAL-HAZE; also the kanban three-dot flyout blur). QUOTE-MEER-ACTIES: localize + de-blur meer-acties and kanban flyout.</t>
        </is>
      </c>
      <c r="C184" s="2" t="inlineStr">
        <is>
          <t>Triage / core</t>
        </is>
      </c>
      <c r="D184" s="8" t="inlineStr">
        <is>
          <t>P2</t>
        </is>
      </c>
      <c r="E184" s="5" t="inlineStr">
        <is>
          <t>Done</t>
        </is>
      </c>
      <c r="F184" s="2" t="inlineStr">
        <is>
          <t>ground-zero-triage.md:1158</t>
        </is>
      </c>
      <c r="G184" s="2" t="inlineStr"/>
      <c r="H184" s="24" t="inlineStr">
        <is>
          <t>L3</t>
        </is>
      </c>
      <c r="I184" t="inlineStr">
        <is>
          <t>Quotations engine</t>
        </is>
      </c>
    </row>
    <row r="185">
      <c r="A185" s="2" t="inlineStr">
        <is>
          <t>RECEIPT-VAT-NOT-DEDUCTIBLE</t>
        </is>
      </c>
      <c r="B185" s="3" t="inlineStr">
        <is>
          <t>VAT on receipts is NOT deductible (Florin; correct — a cash-register ticket isn't a compliant factuur, so input VAT can't be recovered; the full incl-VAT amount is the cost). FIX: for receipt/ticket-mode captures (db-tickets / kassabon, as opposed to a proper invoice in db-expenses), book the ful...</t>
        </is>
      </c>
      <c r="C185" s="2" t="inlineStr">
        <is>
          <t>Triage / core</t>
        </is>
      </c>
      <c r="D185" s="8" t="inlineStr">
        <is>
          <t>P2</t>
        </is>
      </c>
      <c r="E185" s="5" t="inlineStr">
        <is>
          <t>Done</t>
        </is>
      </c>
      <c r="F185" s="2" t="inlineStr">
        <is>
          <t>ground-zero-triage.md:356</t>
        </is>
      </c>
      <c r="G185" s="2" t="inlineStr"/>
      <c r="H185" s="24" t="inlineStr">
        <is>
          <t>L3</t>
        </is>
      </c>
      <c r="I185" t="inlineStr">
        <is>
          <t>Expenses — receipts</t>
        </is>
      </c>
    </row>
    <row r="186">
      <c r="A186" s="2" t="inlineStr">
        <is>
          <t>ROUTER-DEFAULT-NO-DEADEND</t>
        </is>
      </c>
      <c r="B186" s="3" t="inlineStr">
        <is>
          <t>SYSTEMIC (same root that bit here): the router default: dumps ANY unmapped db id onto /admin/dynamic-db, a mock that ignores ?open. Any db not in the switch dead-ends the same way (db-expenses today, the next one tomorrow). Fix the fallback to open the record in its REAL database record view inst...</t>
        </is>
      </c>
      <c r="C186" s="2" t="inlineStr">
        <is>
          <t>Triage / core</t>
        </is>
      </c>
      <c r="D186" s="8" t="inlineStr">
        <is>
          <t>P2</t>
        </is>
      </c>
      <c r="E186" s="2" t="inlineStr">
        <is>
          <t>Open</t>
        </is>
      </c>
      <c r="F186" s="2" t="inlineStr">
        <is>
          <t>ground-zero-triage.md:497</t>
        </is>
      </c>
      <c r="G186" s="2" t="inlineStr"/>
      <c r="H186" s="24" t="inlineStr">
        <is>
          <t>L3</t>
        </is>
      </c>
      <c r="I186" t="inlineStr">
        <is>
          <t>shells &amp; navigation</t>
        </is>
      </c>
    </row>
    <row r="187">
      <c r="A187" s="2" t="inlineStr">
        <is>
          <t>SCAN-EXTRACT-EXPAND</t>
        </is>
      </c>
      <c r="B187" s="3" t="inlineStr">
        <is>
          <t>expand extraction AND wire the new fields end-to-end (extraction that isn't stored/shown is wasted). Three parts:</t>
        </is>
      </c>
      <c r="C187" s="2" t="inlineStr">
        <is>
          <t>Triage / core</t>
        </is>
      </c>
      <c r="D187" s="8" t="inlineStr">
        <is>
          <t>P2</t>
        </is>
      </c>
      <c r="E187" s="2" t="inlineStr">
        <is>
          <t>Open</t>
        </is>
      </c>
      <c r="F187" s="2" t="inlineStr">
        <is>
          <t>ground-zero-triage.md:366</t>
        </is>
      </c>
      <c r="G187" s="2" t="inlineStr"/>
      <c r="H187" s="24" t="inlineStr">
        <is>
          <t>L3</t>
        </is>
      </c>
      <c r="I187" t="inlineStr">
        <is>
          <t>Expenses — OCR / scan</t>
        </is>
      </c>
    </row>
    <row r="188">
      <c r="A188" s="2" t="inlineStr">
        <is>
          <t>SCAN-MERCHANT-PREFILL</t>
        </is>
      </c>
      <c r="B188" s="3" t="inlineStr">
        <is>
          <t>merchant is a supplier SearchableSelect (L657, options = existing db-suppliers). OCR sets form.merchant (L234/L250) but if the scanned name isn't already a supplier option, the select renders blank. FIX: accept the scanned value — allow free-text / "create new supplier" (add the scanned name as a...</t>
        </is>
      </c>
      <c r="C188" s="2" t="inlineStr">
        <is>
          <t>Triage / core</t>
        </is>
      </c>
      <c r="D188" s="8" t="inlineStr">
        <is>
          <t>P2</t>
        </is>
      </c>
      <c r="E188" s="5" t="inlineStr">
        <is>
          <t>Done</t>
        </is>
      </c>
      <c r="F188" s="2" t="inlineStr">
        <is>
          <t>ground-zero-triage.md:360</t>
        </is>
      </c>
      <c r="G188" s="2" t="inlineStr"/>
      <c r="H188" s="24" t="inlineStr">
        <is>
          <t>L3</t>
        </is>
      </c>
      <c r="I188" t="inlineStr">
        <is>
          <t>Expenses — OCR / scan</t>
        </is>
      </c>
    </row>
    <row r="189">
      <c r="A189" s="2" t="inlineStr">
        <is>
          <t>SCAN-MODAL-RESET</t>
        </is>
      </c>
      <c r="B189" s="3" t="inlineStr">
        <is>
          <t>no reset in the receipt scan modal: pick the wrong file and the ONLY way out is to close the whole modal (Florin 2026-07-12). The reset() fn already exists (TicketCaptureModal.tsx L135-152, clears form/scanResult/previewUrl) — it's just not surfaced as a button in the capture/review steps. FIX: a...</t>
        </is>
      </c>
      <c r="C189" s="2" t="inlineStr">
        <is>
          <t>Triage / core</t>
        </is>
      </c>
      <c r="D189" s="8" t="inlineStr">
        <is>
          <t>P2</t>
        </is>
      </c>
      <c r="E189" s="5" t="inlineStr">
        <is>
          <t>Done</t>
        </is>
      </c>
      <c r="F189" s="2" t="inlineStr">
        <is>
          <t>ground-zero-triage.md:359</t>
        </is>
      </c>
      <c r="G189" s="2" t="inlineStr"/>
      <c r="H189" s="24" t="inlineStr">
        <is>
          <t>L3</t>
        </is>
      </c>
      <c r="I189" t="inlineStr">
        <is>
          <t>Expenses — OCR / scan</t>
        </is>
      </c>
    </row>
    <row r="190">
      <c r="A190" s="2" t="inlineStr">
        <is>
          <t>WORKHUB-CLOCK-BTN-STYLE</t>
        </is>
      </c>
      <c r="B190" s="3" t="inlineStr">
        <is>
          <t>stop the clock UI flashing + recolor to brand (Florin 2026-07-12). All in the worker app:</t>
        </is>
      </c>
      <c r="C190" s="2" t="inlineStr">
        <is>
          <t>Triage / core</t>
        </is>
      </c>
      <c r="D190" s="8" t="inlineStr">
        <is>
          <t>P2</t>
        </is>
      </c>
      <c r="E190" s="2" t="inlineStr">
        <is>
          <t>Open</t>
        </is>
      </c>
      <c r="F190" s="2" t="inlineStr">
        <is>
          <t>ground-zero-triage.md:463</t>
        </is>
      </c>
      <c r="G190" s="2" t="inlineStr"/>
      <c r="H190" s="24" t="inlineStr">
        <is>
          <t>L3</t>
        </is>
      </c>
      <c r="I190" t="inlineStr">
        <is>
          <t>shells &amp; navigation — WorkHubShell</t>
        </is>
      </c>
    </row>
    <row r="191">
      <c r="A191" s="2" t="inlineStr">
        <is>
          <t>WORKHUB-DIRECTORY-REMOVE</t>
        </is>
      </c>
      <c r="B191" s="3" t="inlineStr">
        <is>
          <t>(Florin confirmed 2026-07-05: "Team Directory removed from workhub app, not HR") — remove the "Team Directory" nav item from the WorkHubShell workforce nav (src/components/workhub/WorkHubShell.tsx, SECONDARY_ITEMS / nav config) and drop the /workhub/team entry from the workforce app. KEEP the HR ...</t>
        </is>
      </c>
      <c r="C191" s="2" t="inlineStr">
        <is>
          <t>Triage / core</t>
        </is>
      </c>
      <c r="D191" s="8" t="inlineStr">
        <is>
          <t>P2</t>
        </is>
      </c>
      <c r="E191" s="5" t="inlineStr">
        <is>
          <t>Done</t>
        </is>
      </c>
      <c r="F191" s="2" t="inlineStr">
        <is>
          <t>ground-zero-triage.md:1105</t>
        </is>
      </c>
      <c r="G191" s="2" t="inlineStr"/>
      <c r="H191" s="24" t="inlineStr">
        <is>
          <t>L3</t>
        </is>
      </c>
      <c r="I191" t="inlineStr">
        <is>
          <t>shells &amp; navigation — WorkHubShell</t>
        </is>
      </c>
    </row>
    <row r="192">
      <c r="A192" s="2" t="inlineStr">
        <is>
          <t>WORKHUB-INVITE-MOBILE</t>
        </is>
      </c>
      <c r="B192" s="3" t="inlineStr">
        <is>
          <t>a mobile way to invite a workforce user with a link to log into the app (Florin 2026-07-12). Already built (don't rebuild): POST /api/tenant/users L154-156 already sets the invite base URL to work.coral-group.be for TENANT_ENTERPRISE_WORKFORCE, and accept-invite/page.tsx L98-102 already redirects...</t>
        </is>
      </c>
      <c r="C192" s="2" t="inlineStr">
        <is>
          <t>Triage / core</t>
        </is>
      </c>
      <c r="D192" s="8" t="inlineStr">
        <is>
          <t>P2</t>
        </is>
      </c>
      <c r="E192" s="2" t="inlineStr">
        <is>
          <t>Open</t>
        </is>
      </c>
      <c r="F192" s="2" t="inlineStr">
        <is>
          <t>ground-zero-triage.md:470</t>
        </is>
      </c>
      <c r="G192" s="2" t="inlineStr"/>
      <c r="H192" s="24" t="inlineStr">
        <is>
          <t>L3</t>
        </is>
      </c>
      <c r="I192" t="inlineStr">
        <is>
          <t>shells &amp; navigation — WorkHubShell</t>
        </is>
      </c>
    </row>
    <row r="193">
      <c r="A193" s="2" t="inlineStr">
        <is>
          <t>WORKHUB-PERF-SPACE</t>
        </is>
      </c>
      <c r="B193" s="3" t="inlineStr"/>
      <c r="C193" s="2" t="inlineStr">
        <is>
          <t>Triage / core</t>
        </is>
      </c>
      <c r="D193" s="8" t="inlineStr">
        <is>
          <t>P2</t>
        </is>
      </c>
      <c r="E193" s="2" t="inlineStr">
        <is>
          <t>Open</t>
        </is>
      </c>
      <c r="F193" s="2" t="inlineStr">
        <is>
          <t>ground-zero-triage.md:456</t>
        </is>
      </c>
      <c r="G193" s="2" t="inlineStr"/>
      <c r="H193" s="24" t="inlineStr">
        <is>
          <t>L3</t>
        </is>
      </c>
      <c r="I193" t="inlineStr">
        <is>
          <t>shells &amp; navigation — WorkHubShell</t>
        </is>
      </c>
    </row>
    <row r="194">
      <c r="A194" s="2" t="inlineStr">
        <is>
          <t>WORKHUB-SCHEDULE-DUP</t>
        </is>
      </c>
      <c r="B194" s="3" t="inlineStr">
        <is>
          <t>"My Schedule" is shown twice on the WorkHub home (Planner-verified LIVE 2026-07-05): the main &lt;MySchedule/&gt; section (WF-1) AND a hardcoded "My Schedule" Quick Access card (QuickLinks.tsx L127-182, which sits on "Loading…" on /workhub). Redundant. FIX: remove the hardcoded My Schedule card from Qu...</t>
        </is>
      </c>
      <c r="C194" s="2" t="inlineStr">
        <is>
          <t>Triage / core</t>
        </is>
      </c>
      <c r="D194" s="8" t="inlineStr">
        <is>
          <t>P2</t>
        </is>
      </c>
      <c r="E194" s="5" t="inlineStr">
        <is>
          <t>Done</t>
        </is>
      </c>
      <c r="F194" s="2" t="inlineStr">
        <is>
          <t>ground-zero-triage.md:1108</t>
        </is>
      </c>
      <c r="G194" s="2" t="inlineStr"/>
      <c r="H194" s="24" t="inlineStr">
        <is>
          <t>L3</t>
        </is>
      </c>
      <c r="I194" t="inlineStr">
        <is>
          <t>shells &amp; navigation — WorkHubShell</t>
        </is>
      </c>
    </row>
    <row r="195">
      <c r="A195" s="2" t="inlineStr">
        <is>
          <t>WORKHUB-SCHEDULE-TAB</t>
        </is>
      </c>
      <c r="B195" s="3" t="inlineStr">
        <is>
          <t>the separate "Schedule" nav tab is still in the WorkHubShell top nav (Planner-verified LIVE 2026-07-05 on /workhub), despite WF-1 making the planned-shifts list the home. Florin: "schedule as homepage, not a separate tab." FIX: in src/components/workhub/WorkHubShell.tsx remove the { id: 'schedule...</t>
        </is>
      </c>
      <c r="C195" s="2" t="inlineStr">
        <is>
          <t>Triage / core</t>
        </is>
      </c>
      <c r="D195" s="8" t="inlineStr">
        <is>
          <t>P2</t>
        </is>
      </c>
      <c r="E195" s="5" t="inlineStr">
        <is>
          <t>Done</t>
        </is>
      </c>
      <c r="F195" s="2" t="inlineStr">
        <is>
          <t>ground-zero-triage.md:1109</t>
        </is>
      </c>
      <c r="G195" s="2" t="inlineStr"/>
      <c r="H195" s="24" t="inlineStr">
        <is>
          <t>L3</t>
        </is>
      </c>
      <c r="I195" t="inlineStr">
        <is>
          <t>shells &amp; navigation — WorkHubShell</t>
        </is>
      </c>
    </row>
    <row r="196">
      <c r="A196" s="2" t="inlineStr">
        <is>
          <t>WORKHUB-SITEVISIT-OWNER-ONLY</t>
        </is>
      </c>
      <c r="B196" s="3" t="inlineStr">
        <is>
          <t>the "Record Site Visit" feature must NOT be visible to workforce for now (Florin 2026-07-12: "site visit is for me at the moment; if it becomes tenant-scoped later it'll ship as a bonus/ungated update — for now workforce is not to see it available"). src/components/time-tracker/pages/Index.tsx L5...</t>
        </is>
      </c>
      <c r="C196" s="2" t="inlineStr">
        <is>
          <t>Triage / core</t>
        </is>
      </c>
      <c r="D196" s="8" t="inlineStr">
        <is>
          <t>P2</t>
        </is>
      </c>
      <c r="E196" s="2" t="inlineStr">
        <is>
          <t>Open</t>
        </is>
      </c>
      <c r="F196" s="2" t="inlineStr">
        <is>
          <t>ground-zero-triage.md:484</t>
        </is>
      </c>
      <c r="G196" s="2" t="inlineStr"/>
      <c r="H196" s="24" t="inlineStr">
        <is>
          <t>L3</t>
        </is>
      </c>
      <c r="I196" t="inlineStr">
        <is>
          <t>shells &amp; navigation — WorkHubShell</t>
        </is>
      </c>
    </row>
    <row r="197">
      <c r="A197" s="2" t="inlineStr">
        <is>
          <t>—</t>
        </is>
      </c>
      <c r="B197" s="3" t="inlineStr">
        <is>
          <t>HR-5 (ops, Florin) — extend the PITR window beyond 6 h and set a snapshot schedule (currently manual). A 6-hour recovery window is thin for live invoicing.</t>
        </is>
      </c>
      <c r="C197" s="2" t="inlineStr">
        <is>
          <t>Triage / core</t>
        </is>
      </c>
      <c r="D197" s="8" t="inlineStr">
        <is>
          <t>P2</t>
        </is>
      </c>
      <c r="E197" s="2" t="inlineStr">
        <is>
          <t>Open</t>
        </is>
      </c>
      <c r="F197" s="2" t="inlineStr">
        <is>
          <t>ground-zero-triage.md:281</t>
        </is>
      </c>
      <c r="G197" s="2" t="inlineStr"/>
      <c r="H197" s="23" t="inlineStr">
        <is>
          <t>L1</t>
        </is>
      </c>
      <c r="I197" t="inlineStr">
        <is>
          <t>ERP core — mixed triage</t>
        </is>
      </c>
    </row>
    <row r="198">
      <c r="A198" s="2" t="inlineStr">
        <is>
          <t>—</t>
        </is>
      </c>
      <c r="B198" s="3" t="inlineStr">
        <is>
          <t>HR-6 (process) — the schema change was applied via prisma db push (only one migration file exists, from 27 Jun, yet the new ClockEntry columns are live). Close the loophole: no agent runs ANY schema-mutating prisma command (db push, migrate dev/reset, --force-reset, --accept-data-loss) against AN...</t>
        </is>
      </c>
      <c r="C198" s="2" t="inlineStr">
        <is>
          <t>Triage / core</t>
        </is>
      </c>
      <c r="D198" s="8" t="inlineStr">
        <is>
          <t>P2</t>
        </is>
      </c>
      <c r="E198" s="2" t="inlineStr">
        <is>
          <t>Open</t>
        </is>
      </c>
      <c r="F198" s="2" t="inlineStr">
        <is>
          <t>ground-zero-triage.md:282</t>
        </is>
      </c>
      <c r="G198" s="2" t="inlineStr"/>
      <c r="H198" s="23" t="inlineStr">
        <is>
          <t>L1</t>
        </is>
      </c>
      <c r="I198" t="inlineStr">
        <is>
          <t>ERP core — mixed triage</t>
        </is>
      </c>
    </row>
    <row r="199">
      <c r="A199" s="2" t="inlineStr">
        <is>
          <t>PROJ-4</t>
        </is>
      </c>
      <c r="B199" s="3" t="inlineStr">
        <is>
          <t>PROJ-DOC-ROLLUP (coral-purchase-orders.md Part 3): one panel listing every linked document with status + amount, each opening its record; the revenue/cost ladders above it. Reads from the relations that already exist on the project.</t>
        </is>
      </c>
      <c r="C199" s="2" t="inlineStr">
        <is>
          <t>Projects</t>
        </is>
      </c>
      <c r="D199" s="9" t="inlineStr">
        <is>
          <t>P3</t>
        </is>
      </c>
      <c r="E199" s="2" t="inlineStr">
        <is>
          <t>Open</t>
        </is>
      </c>
      <c r="F199" s="2" t="inlineStr">
        <is>
          <t>coral-project-module.md:32</t>
        </is>
      </c>
      <c r="G199" s="2" t="inlineStr"/>
      <c r="H199" s="24" t="inlineStr">
        <is>
          <t>L3</t>
        </is>
      </c>
      <c r="I199" t="inlineStr">
        <is>
          <t>Projects</t>
        </is>
      </c>
    </row>
    <row r="200">
      <c r="A200" s="2" t="inlineStr">
        <is>
          <t>A3</t>
        </is>
      </c>
      <c r="B200" s="3" t="inlineStr">
        <is>
          <t>when a shift exists, the big button clocks INTO the next scheduled shift (set ClockEntry.shiftId); start/stop from inside the shift card; live timer reads the active entry.</t>
        </is>
      </c>
      <c r="C200" s="2" t="inlineStr">
        <is>
          <t>Triage / core</t>
        </is>
      </c>
      <c r="D200" s="9" t="inlineStr">
        <is>
          <t>P3</t>
        </is>
      </c>
      <c r="E200" s="5" t="inlineStr">
        <is>
          <t>Done</t>
        </is>
      </c>
      <c r="F200" s="2" t="inlineStr">
        <is>
          <t>ground-zero-triage.md:718</t>
        </is>
      </c>
      <c r="G200" s="2" t="inlineStr"/>
      <c r="H200" s="24" t="inlineStr">
        <is>
          <t>L3</t>
        </is>
      </c>
      <c r="I200" t="inlineStr">
        <is>
          <t>grid</t>
        </is>
      </c>
    </row>
    <row r="201">
      <c r="A201" s="2" t="inlineStr">
        <is>
          <t>A4</t>
        </is>
      </c>
      <c r="B201" s="3" t="inlineStr">
        <is>
          <t>leave requests must persist real dates (currently save/display "Unknown Date").</t>
        </is>
      </c>
      <c r="C201" s="2" t="inlineStr">
        <is>
          <t>Triage / core</t>
        </is>
      </c>
      <c r="D201" s="9" t="inlineStr">
        <is>
          <t>P3</t>
        </is>
      </c>
      <c r="E201" s="5" t="inlineStr">
        <is>
          <t>Done</t>
        </is>
      </c>
      <c r="F201" s="2" t="inlineStr">
        <is>
          <t>ground-zero-triage.md:719</t>
        </is>
      </c>
      <c r="G201" s="2" t="inlineStr"/>
      <c r="H201" s="24" t="inlineStr">
        <is>
          <t>L3</t>
        </is>
      </c>
      <c r="I201" t="inlineStr">
        <is>
          <t>grid</t>
        </is>
      </c>
    </row>
    <row r="202">
      <c r="A202" s="2" t="inlineStr">
        <is>
          <t>WORKHUB-SESSION-ROLE-EMPTY</t>
        </is>
      </c>
      <c r="B202" s="3" t="inlineStr">
        <is>
          <t>SECONDARY (visible in same screenshot): nav shows Projects + Company Wiki and the name reads "User" → session?.user?.role is empty for Andrei. FIX VERIFIED: DB record is TENANT_ENTERPRISE_WORKFORCE and auth.ts surfaces role. (Ties to R01/R02.)</t>
        </is>
      </c>
      <c r="C202" s="2" t="inlineStr">
        <is>
          <t>Triage / core</t>
        </is>
      </c>
      <c r="D202" s="9" t="inlineStr">
        <is>
          <t>P3</t>
        </is>
      </c>
      <c r="E202" s="5" t="inlineStr">
        <is>
          <t>Done</t>
        </is>
      </c>
      <c r="F202" s="2" t="inlineStr">
        <is>
          <t>ground-zero-triage.md:680</t>
        </is>
      </c>
      <c r="G202" s="2" t="inlineStr"/>
      <c r="H202" s="24" t="inlineStr">
        <is>
          <t>L3</t>
        </is>
      </c>
      <c r="I202" t="inlineStr">
        <is>
          <t>shells &amp; navigation — WorkHubShell</t>
        </is>
      </c>
    </row>
    <row r="203">
      <c r="A203" s="2" t="inlineStr">
        <is>
          <t>UI-INSTALLED-PWA-JUMP</t>
        </is>
      </c>
      <c r="B203" s="3" t="inlineStr">
        <is>
          <t>Installed webapp loads and on click all screen graphics jump up by ~20px</t>
        </is>
      </c>
      <c r="C203" s="2" t="inlineStr">
        <is>
          <t>Mobile / PWA</t>
        </is>
      </c>
      <c r="D203" s="10" t="inlineStr">
        <is>
          <t>P4</t>
        </is>
      </c>
      <c r="E203" s="18" t="inlineStr">
        <is>
          <t>Dropped</t>
        </is>
      </c>
      <c r="F203" s="2" t="inlineStr">
        <is>
          <t>Florin 2026-09-09</t>
        </is>
      </c>
      <c r="G203" s="2" t="inlineStr">
        <is>
          <t>Folded into TASK-M7</t>
        </is>
      </c>
      <c r="H203" s="26" t="inlineStr">
        <is>
          <t>L4</t>
        </is>
      </c>
      <c r="I203" t="inlineStr">
        <is>
          <t>design system</t>
        </is>
      </c>
    </row>
    <row r="204">
      <c r="A204" s="11" t="inlineStr">
        <is>
          <t>MAIL-1</t>
        </is>
      </c>
      <c r="B204" s="11" t="inlineStr">
        <is>
          <t>THE ERROR MUST CARRY ITS OWN IDENTITY — send-invoice/send-quote catch must never fall back to a constant string</t>
        </is>
      </c>
      <c r="C204" s="11" t="inlineStr">
        <is>
          <t>Email dispatch</t>
        </is>
      </c>
      <c r="D204" s="12" t="inlineStr">
        <is>
          <t>P0</t>
        </is>
      </c>
      <c r="E204" s="16" t="inlineStr">
        <is>
          <t>Done</t>
        </is>
      </c>
      <c r="F204" s="11" t="inlineStr">
        <is>
          <t>coral-blob-read-and-error-surfacing.md</t>
        </is>
      </c>
      <c r="G204" s="11" t="inlineStr">
        <is>
          <t>Planner-verified in code 2026-09-12</t>
        </is>
      </c>
      <c r="H204" s="23" t="inlineStr">
        <is>
          <t>L1</t>
        </is>
      </c>
      <c r="I204" t="inlineStr">
        <is>
          <t>platform services — email</t>
        </is>
      </c>
    </row>
    <row r="205">
      <c r="A205" s="11" t="inlineStr">
        <is>
          <t>MAIL-2</t>
        </is>
      </c>
      <c r="B205" s="11" t="inlineStr">
        <is>
          <t>storage.read() cannot read a PRIVATE blob — uses list()+unauthenticated fetch; must use get(key,{token,access:private}) like /api/files does</t>
        </is>
      </c>
      <c r="C205" s="11" t="inlineStr">
        <is>
          <t>Email dispatch</t>
        </is>
      </c>
      <c r="D205" s="12" t="inlineStr">
        <is>
          <t>P0</t>
        </is>
      </c>
      <c r="E205" s="15" t="inlineStr">
        <is>
          <t>Dropped</t>
        </is>
      </c>
      <c r="F205" s="11" t="inlineStr">
        <is>
          <t>coral-mail-dispatch-diagnostics.md</t>
        </is>
      </c>
      <c r="G205" s="11" t="inlineStr">
        <is>
          <t>Absorbed into BLOB-1</t>
        </is>
      </c>
      <c r="H205" s="23" t="inlineStr">
        <is>
          <t>L1</t>
        </is>
      </c>
      <c r="I205" t="inlineStr">
        <is>
          <t>platform services — email</t>
        </is>
      </c>
    </row>
    <row r="206">
      <c r="A206" s="11" t="inlineStr">
        <is>
          <t>MAIL-3</t>
        </is>
      </c>
      <c r="B206" s="11" t="inlineStr">
        <is>
          <t>Confirm which cause it was — Florin sends once after MAIL-1; toast names it</t>
        </is>
      </c>
      <c r="C206" s="11" t="inlineStr">
        <is>
          <t>Email dispatch</t>
        </is>
      </c>
      <c r="D206" s="13" t="inlineStr">
        <is>
          <t>P1</t>
        </is>
      </c>
      <c r="E206" s="16" t="inlineStr">
        <is>
          <t>Done</t>
        </is>
      </c>
      <c r="F206" s="11" t="inlineStr">
        <is>
          <t>coral-blob-read-and-error-surfacing.md</t>
        </is>
      </c>
      <c r="G206" s="11" t="inlineStr">
        <is>
          <t>Florin-confirmed 2026-09-12: sent + received OK. Cause was BLOB-1.</t>
        </is>
      </c>
      <c r="H206" s="23" t="inlineStr">
        <is>
          <t>L1</t>
        </is>
      </c>
      <c r="I206" t="inlineStr">
        <is>
          <t>platform services — email</t>
        </is>
      </c>
    </row>
    <row r="207">
      <c r="A207" s="11" t="inlineStr">
        <is>
          <t>MAIL-4</t>
        </is>
      </c>
      <c r="B207" s="11" t="inlineStr">
        <is>
          <t>Sweep the other 6 constant-string toast.error sites to append the caught error</t>
        </is>
      </c>
      <c r="C207" s="11" t="inlineStr">
        <is>
          <t>Email dispatch</t>
        </is>
      </c>
      <c r="D207" s="14" t="inlineStr">
        <is>
          <t>P2</t>
        </is>
      </c>
      <c r="E207" s="16" t="inlineStr">
        <is>
          <t>Done</t>
        </is>
      </c>
      <c r="F207" s="11" t="inlineStr">
        <is>
          <t>coral-blob-read-and-error-surfacing.md</t>
        </is>
      </c>
      <c r="G207" s="11" t="inlineStr">
        <is>
          <t>Planner-verified in code 2026-09-12</t>
        </is>
      </c>
      <c r="H207" s="23" t="inlineStr">
        <is>
          <t>L1</t>
        </is>
      </c>
      <c r="I207" t="inlineStr">
        <is>
          <t>platform services — email</t>
        </is>
      </c>
    </row>
    <row r="208">
      <c r="A208" s="11" t="inlineStr">
        <is>
          <t>BLOB-1</t>
        </is>
      </c>
      <c r="B208" s="11" t="inlineStr">
        <is>
          <t>Fix storage.read() — use get(key,{token,access:private}) + streamToBuffer; the list()+unauthenticated fetch cannot work on private blobs</t>
        </is>
      </c>
      <c r="C208" s="11" t="inlineStr">
        <is>
          <t>Storage / Blob</t>
        </is>
      </c>
      <c r="D208" s="12" t="inlineStr">
        <is>
          <t>P0</t>
        </is>
      </c>
      <c r="E208" s="16" t="inlineStr">
        <is>
          <t>Done</t>
        </is>
      </c>
      <c r="F208" s="11" t="inlineStr">
        <is>
          <t>coral-blob-read-and-error-surfacing.md</t>
        </is>
      </c>
      <c r="G208" s="11" t="inlineStr">
        <is>
          <t>Planner-verified in code 2026-09-12</t>
        </is>
      </c>
      <c r="H208" s="27" t="inlineStr">
        <is>
          <t>L0</t>
        </is>
      </c>
      <c r="I208" t="inlineStr">
        <is>
          <t>storage — the one blob door</t>
        </is>
      </c>
    </row>
    <row r="209">
      <c r="A209" s="11" t="inlineStr">
        <is>
          <t>BLOB-4</t>
        </is>
      </c>
      <c r="B209" s="11" t="inlineStr">
        <is>
          <t>Accountant export STRICT/all-or-nothing — read-all, verify-all, build ZIP, then stamp. Any unreadable document aborts the export; nothing stamped.</t>
        </is>
      </c>
      <c r="C209" s="11" t="inlineStr">
        <is>
          <t>Storage / Blob</t>
        </is>
      </c>
      <c r="D209" s="12" t="inlineStr">
        <is>
          <t>P0</t>
        </is>
      </c>
      <c r="E209" s="16" t="inlineStr">
        <is>
          <t>Done</t>
        </is>
      </c>
      <c r="F209" s="11" t="inlineStr">
        <is>
          <t>coral-blob-read-and-error-surfacing.md</t>
        </is>
      </c>
      <c r="G209" s="11" t="inlineStr">
        <is>
          <t>STRICT CONFIRMED SAFE by census — no E/F rows exist</t>
        </is>
      </c>
      <c r="H209" s="27" t="inlineStr">
        <is>
          <t>L0</t>
        </is>
      </c>
      <c r="I209" t="inlineStr">
        <is>
          <t>storage — the one blob door</t>
        </is>
      </c>
    </row>
    <row r="210">
      <c r="A210" s="11" t="inlineStr">
        <is>
          <t>BLOB-2</t>
        </is>
      </c>
      <c r="B210" s="11" t="inlineStr">
        <is>
          <t>financials/export fetchBlobFile() must call storage.read() — delete the local third copy</t>
        </is>
      </c>
      <c r="C210" s="11" t="inlineStr">
        <is>
          <t>Storage / Blob</t>
        </is>
      </c>
      <c r="D210" s="13" t="inlineStr">
        <is>
          <t>P1</t>
        </is>
      </c>
      <c r="E210" s="16" t="inlineStr">
        <is>
          <t>Done</t>
        </is>
      </c>
      <c r="F210" s="11" t="inlineStr">
        <is>
          <t>coral-blob-read-and-error-surfacing.md</t>
        </is>
      </c>
      <c r="G210" s="11" t="inlineStr">
        <is>
          <t>Planner-verified in code 2026-09-12</t>
        </is>
      </c>
      <c r="H210" s="27" t="inlineStr">
        <is>
          <t>L0</t>
        </is>
      </c>
      <c r="I210" t="inlineStr">
        <is>
          <t>storage — the one blob door</t>
        </is>
      </c>
    </row>
    <row r="211">
      <c r="A211" s="11" t="inlineStr">
        <is>
          <t>BLOB-3</t>
        </is>
      </c>
      <c r="B211" s="11" t="inlineStr">
        <is>
          <t>Close the door — only lib/storage may import @vercel/blob (one documented exception: /api/files streaming route)</t>
        </is>
      </c>
      <c r="C211" s="11" t="inlineStr">
        <is>
          <t>Storage / Blob</t>
        </is>
      </c>
      <c r="D211" s="13" t="inlineStr">
        <is>
          <t>P1</t>
        </is>
      </c>
      <c r="E211" s="16" t="inlineStr">
        <is>
          <t>Done</t>
        </is>
      </c>
      <c r="F211" s="11" t="inlineStr">
        <is>
          <t>coral-blob-read-and-error-surfacing.md</t>
        </is>
      </c>
      <c r="G211" s="11" t="inlineStr">
        <is>
          <t>Planner-verified in code 2026-09-12</t>
        </is>
      </c>
      <c r="H211" s="27" t="inlineStr">
        <is>
          <t>L0</t>
        </is>
      </c>
      <c r="I211" t="inlineStr">
        <is>
          <t>storage — the one blob door</t>
        </is>
      </c>
    </row>
    <row r="212">
      <c r="A212" s="11" t="inlineStr">
        <is>
          <t>BLOB-5</t>
        </is>
      </c>
      <c r="B212" s="11" t="inlineStr">
        <is>
          <t>tests/storage-contract.test.ts — a missing key must throw, not return empty</t>
        </is>
      </c>
      <c r="C212" s="11" t="inlineStr">
        <is>
          <t>Storage / Blob</t>
        </is>
      </c>
      <c r="D212" s="13" t="inlineStr">
        <is>
          <t>P1</t>
        </is>
      </c>
      <c r="E212" s="16" t="inlineStr">
        <is>
          <t>Done</t>
        </is>
      </c>
      <c r="F212" s="11" t="inlineStr">
        <is>
          <t>coral-blob-read-and-error-surfacing.md</t>
        </is>
      </c>
      <c r="G212" s="11" t="inlineStr">
        <is>
          <t>Planner-verified in code 2026-09-12</t>
        </is>
      </c>
      <c r="H212" s="27" t="inlineStr">
        <is>
          <t>L0</t>
        </is>
      </c>
      <c r="I212" t="inlineStr">
        <is>
          <t>storage — the one blob door</t>
        </is>
      </c>
    </row>
    <row r="213">
      <c r="A213" s="11" t="inlineStr">
        <is>
          <t>BLOB-0</t>
        </is>
      </c>
      <c r="B213" s="11" t="inlineStr">
        <is>
          <t>CENSUS (read-only, gates BLOB-4): count db-invoices/db-expenses records whose receiptUrl does not start with t_ — legacy full-URL values</t>
        </is>
      </c>
      <c r="C213" s="11" t="inlineStr">
        <is>
          <t>Storage / Blob</t>
        </is>
      </c>
      <c r="D213" s="12" t="inlineStr">
        <is>
          <t>P0</t>
        </is>
      </c>
      <c r="E213" s="16" t="inlineStr">
        <is>
          <t>Done</t>
        </is>
      </c>
      <c r="F213" s="11" t="inlineStr">
        <is>
          <t>coral-blob-read-and-error-surfacing.md</t>
        </is>
      </c>
      <c r="G213" s="11" t="inlineStr">
        <is>
          <t>Run 2026-09-12: A=128 (71 stamped), B=50 (21 stamped). ZERO legacy URLs, zero encoding risk</t>
        </is>
      </c>
      <c r="H213" s="27" t="inlineStr">
        <is>
          <t>L0</t>
        </is>
      </c>
      <c r="I213" t="inlineStr">
        <is>
          <t>storage — the one blob door</t>
        </is>
      </c>
    </row>
    <row r="214">
      <c r="A214" s="11" t="inlineStr">
        <is>
          <t>BLOB-6</t>
        </is>
      </c>
      <c r="B214" s="11" t="inlineStr">
        <is>
          <t>resolveDocumentKey does not decodeURIComponent — a legacy URL for a filename with spaces (plan 2.pdf) resolves to a percent-encoded key and will not read</t>
        </is>
      </c>
      <c r="C214" s="11" t="inlineStr">
        <is>
          <t>Storage / Blob</t>
        </is>
      </c>
      <c r="D214" s="17" t="inlineStr">
        <is>
          <t>P3</t>
        </is>
      </c>
      <c r="E214" s="11" t="inlineStr">
        <is>
          <t>Open</t>
        </is>
      </c>
      <c r="F214" s="11" t="inlineStr">
        <is>
          <t>coral-blob-read-and-error-surfacing.md</t>
        </is>
      </c>
      <c r="G214" s="11" t="inlineStr">
        <is>
          <t>Census: 0 affected rows — decode path unreachable. Parked, not closed</t>
        </is>
      </c>
      <c r="H214" s="27" t="inlineStr">
        <is>
          <t>L0</t>
        </is>
      </c>
      <c r="I214" t="inlineStr">
        <is>
          <t>storage — the one blob door</t>
        </is>
      </c>
    </row>
    <row r="215">
      <c r="A215" s="11" t="inlineStr">
        <is>
          <t>I18N-MISSING-KEYS</t>
        </is>
      </c>
      <c r="B215" s="11" t="inlineStr">
        <is>
          <t>i18n test fails: ~16 keys referenced in source but absent from messages (incl. 3x Hr.timesheets.*, Admin.portals.placeholders.*, Admin.status.*)</t>
        </is>
      </c>
      <c r="C215" s="11" t="inlineStr">
        <is>
          <t>i18n</t>
        </is>
      </c>
      <c r="D215" s="13" t="inlineStr">
        <is>
          <t>P1</t>
        </is>
      </c>
      <c r="E215" s="11" t="inlineStr">
        <is>
          <t>Open</t>
        </is>
      </c>
      <c r="F215" s="11" t="inlineStr">
        <is>
          <t>tests/i18n.test.ts</t>
        </is>
      </c>
      <c r="G215" s="11" t="inlineStr">
        <is>
          <t>Harness caught it</t>
        </is>
      </c>
      <c r="H215" s="23" t="inlineStr">
        <is>
          <t>L1</t>
        </is>
      </c>
      <c r="I215" t="inlineStr">
        <is>
          <t>platform services — i18n catalogue</t>
        </is>
      </c>
    </row>
    <row r="216">
      <c r="A216" s="11" t="inlineStr">
        <is>
          <t>TEST-DIR-GLOB</t>
        </is>
      </c>
      <c r="B216" s="11" t="inlineStr">
        <is>
          <t>Harness regression: --test tests/ now throws ERR_UNSUPPORTED_DIR_IMPORT; must use --test "tests/*.test.ts". Update tests/README.md</t>
        </is>
      </c>
      <c r="C216" s="11" t="inlineStr">
        <is>
          <t>Test harness</t>
        </is>
      </c>
      <c r="D216" s="14" t="inlineStr">
        <is>
          <t>P2</t>
        </is>
      </c>
      <c r="E216" s="11" t="inlineStr">
        <is>
          <t>Open</t>
        </is>
      </c>
      <c r="F216" s="11" t="inlineStr">
        <is>
          <t>tests/README.md</t>
        </is>
      </c>
      <c r="G216" s="11" t="inlineStr"/>
      <c r="H216" s="25" t="inlineStr">
        <is>
          <t>⟂</t>
        </is>
      </c>
      <c r="I216" t="inlineStr">
        <is>
          <t>test suite</t>
        </is>
      </c>
    </row>
    <row r="217">
      <c r="A217" s="11" t="inlineStr">
        <is>
          <t>SEC-TEST-ROUTE</t>
        </is>
      </c>
      <c r="B217" s="11" t="inlineStr">
        <is>
          <t>DELETE /api/test-payment-plan — unauthenticated GET that finds ANY tenant quotation and writes to it. Scratch file shipped to production</t>
        </is>
      </c>
      <c r="C217" s="11" t="inlineStr">
        <is>
          <t>Tenancy (R1)</t>
        </is>
      </c>
      <c r="D217" s="12" t="inlineStr">
        <is>
          <t>P0</t>
        </is>
      </c>
      <c r="E217" s="15" t="inlineStr">
        <is>
          <t>Dropped</t>
        </is>
      </c>
      <c r="F217" s="11" t="inlineStr">
        <is>
          <t>coral-systems-pass.md</t>
        </is>
      </c>
      <c r="G217" s="11" t="inlineStr">
        <is>
          <t>Expanded into numbered R-items</t>
        </is>
      </c>
      <c r="H217" s="28" t="inlineStr">
        <is>
          <t>GATE</t>
        </is>
      </c>
      <c r="I217" t="inlineStr">
        <is>
          <t>tenancy / access</t>
        </is>
      </c>
    </row>
    <row r="218">
      <c r="A218" s="11" t="inlineStr">
        <is>
          <t>R1-TENANT-BOUNDARY</t>
        </is>
      </c>
      <c r="B218" s="11" t="inlineStr">
        <is>
          <t>Tenant-scoped data accessor is the only door to GlobalPage/GlobalDatabase; tenant derived from session, never an argument; direct prisma access outside it fails CI</t>
        </is>
      </c>
      <c r="C218" s="11" t="inlineStr">
        <is>
          <t>Tenancy (R1)</t>
        </is>
      </c>
      <c r="D218" s="12" t="inlineStr">
        <is>
          <t>P0</t>
        </is>
      </c>
      <c r="E218" s="15" t="inlineStr">
        <is>
          <t>Dropped</t>
        </is>
      </c>
      <c r="F218" s="11" t="inlineStr">
        <is>
          <t>coral-systems-pass.md</t>
        </is>
      </c>
      <c r="G218" s="11" t="inlineStr">
        <is>
          <t>Expanded into numbered R-items</t>
        </is>
      </c>
      <c r="H218" s="28" t="inlineStr">
        <is>
          <t>GATE</t>
        </is>
      </c>
      <c r="I218" t="inlineStr">
        <is>
          <t>the seraph — resolver, logicalKey, scoped accessor</t>
        </is>
      </c>
    </row>
    <row r="219">
      <c r="A219" s="11" t="inlineStr">
        <is>
          <t>R1-CRON-VAT-SCOPE</t>
        </is>
      </c>
      <c r="B219" s="11" t="inlineStr">
        <is>
          <t>cron/vat-backfill findMany spans ALL tenants and writes VAT figures — tenant-blind by construction</t>
        </is>
      </c>
      <c r="C219" s="11" t="inlineStr">
        <is>
          <t>Tenancy (R1)</t>
        </is>
      </c>
      <c r="D219" s="12" t="inlineStr">
        <is>
          <t>P0</t>
        </is>
      </c>
      <c r="E219" s="15" t="inlineStr">
        <is>
          <t>Dropped</t>
        </is>
      </c>
      <c r="F219" s="11" t="inlineStr">
        <is>
          <t>coral-systems-pass.md</t>
        </is>
      </c>
      <c r="G219" s="11" t="inlineStr">
        <is>
          <t>Expanded into numbered R-items</t>
        </is>
      </c>
      <c r="H219" s="28" t="inlineStr">
        <is>
          <t>GATE</t>
        </is>
      </c>
      <c r="I219" t="inlineStr">
        <is>
          <t>the seraph — resolver, logicalKey, scoped accessor</t>
        </is>
      </c>
    </row>
    <row r="220">
      <c r="A220" s="11" t="inlineStr">
        <is>
          <t>R1-SYSTEM-WRITER</t>
        </is>
      </c>
      <c r="B220" s="11" t="inlineStr">
        <is>
          <t>Named system accessor for cron/webhook/service writes — still tenant-bound, structurally tagged (makes OCC-2 tagging non-optional)</t>
        </is>
      </c>
      <c r="C220" s="11" t="inlineStr">
        <is>
          <t>Tenancy (R1)</t>
        </is>
      </c>
      <c r="D220" s="13" t="inlineStr">
        <is>
          <t>P1</t>
        </is>
      </c>
      <c r="E220" s="15" t="inlineStr">
        <is>
          <t>Dropped</t>
        </is>
      </c>
      <c r="F220" s="11" t="inlineStr">
        <is>
          <t>coral-systems-pass.md</t>
        </is>
      </c>
      <c r="G220" s="11" t="inlineStr">
        <is>
          <t>Expanded into numbered R-items</t>
        </is>
      </c>
      <c r="H220" s="28" t="inlineStr">
        <is>
          <t>GATE</t>
        </is>
      </c>
      <c r="I220" t="inlineStr">
        <is>
          <t>the seraph — resolver, logicalKey, scoped accessor</t>
        </is>
      </c>
    </row>
    <row r="221">
      <c r="A221" s="11" t="inlineStr">
        <is>
          <t>R2-ONE-WRITE-PATH</t>
        </is>
      </c>
      <c r="B221" s="11" t="inlineStr">
        <is>
          <t>One way a record change reaches the DB; one authority on current state. Absorbs OCC/sync-queue/server-first/persist</t>
        </is>
      </c>
      <c r="C221" s="11" t="inlineStr">
        <is>
          <t>Persistence (R2)</t>
        </is>
      </c>
      <c r="D221" s="12" t="inlineStr">
        <is>
          <t>P0</t>
        </is>
      </c>
      <c r="E221" s="15" t="inlineStr">
        <is>
          <t>Dropped</t>
        </is>
      </c>
      <c r="F221" s="11" t="inlineStr">
        <is>
          <t>coral-systems-pass.md</t>
        </is>
      </c>
      <c r="G221" s="11" t="inlineStr">
        <is>
          <t>Expanded into numbered R-items</t>
        </is>
      </c>
      <c r="H221" s="23" t="inlineStr">
        <is>
          <t>L1</t>
        </is>
      </c>
      <c r="I221" t="inlineStr">
        <is>
          <t>write path — saveRecord, intents, read model</t>
        </is>
      </c>
    </row>
    <row r="222">
      <c r="A222" s="11" t="inlineStr">
        <is>
          <t>R3-GRID</t>
        </is>
      </c>
      <c r="B222" s="11" t="inlineStr">
        <is>
          <t>Grid completion — cell commits its own field only (N1 race); view state persists. NOTE: leaf of R2, sequence after it</t>
        </is>
      </c>
      <c r="C222" s="11" t="inlineStr">
        <is>
          <t>Record surface (R3)</t>
        </is>
      </c>
      <c r="D222" s="13" t="inlineStr">
        <is>
          <t>P1</t>
        </is>
      </c>
      <c r="E222" s="15" t="inlineStr">
        <is>
          <t>Dropped</t>
        </is>
      </c>
      <c r="F222" s="11" t="inlineStr">
        <is>
          <t>coral-systems-pass.md</t>
        </is>
      </c>
      <c r="G222" s="11" t="inlineStr">
        <is>
          <t>Expanded into numbered R-items</t>
        </is>
      </c>
      <c r="H222" s="24" t="inlineStr">
        <is>
          <t>L3</t>
        </is>
      </c>
      <c r="I222" t="inlineStr">
        <is>
          <t>grid / record surface primitives</t>
        </is>
      </c>
    </row>
    <row r="223">
      <c r="A223" s="11" t="inlineStr">
        <is>
          <t>R4-ENGINE-ONE-READER</t>
        </is>
      </c>
      <c r="B223" s="11" t="inlineStr">
        <is>
          <t>Blocks are the document: one reader across quote/invoice/purchase/portal; totals derived once</t>
        </is>
      </c>
      <c r="C223" s="11" t="inlineStr">
        <is>
          <t>Document engine (R4)</t>
        </is>
      </c>
      <c r="D223" s="13" t="inlineStr">
        <is>
          <t>P1</t>
        </is>
      </c>
      <c r="E223" s="15" t="inlineStr">
        <is>
          <t>Dropped</t>
        </is>
      </c>
      <c r="F223" s="11" t="inlineStr">
        <is>
          <t>coral-systems-pass.md</t>
        </is>
      </c>
      <c r="G223" s="11" t="inlineStr">
        <is>
          <t>Expanded into numbered R-items</t>
        </is>
      </c>
      <c r="H223" s="23" t="inlineStr">
        <is>
          <t>L1</t>
        </is>
      </c>
      <c r="I223" t="inlineStr">
        <is>
          <t>document engine</t>
        </is>
      </c>
    </row>
    <row r="224">
      <c r="A224" s="11" t="inlineStr">
        <is>
          <t>R1-0</t>
        </is>
      </c>
      <c r="B224" s="11" t="inlineStr">
        <is>
          <t>DELETE /api/test-payment-plan — unauthenticated cross-tenant write</t>
        </is>
      </c>
      <c r="C224" s="11" t="inlineStr">
        <is>
          <t>Tenancy (R1)</t>
        </is>
      </c>
      <c r="D224" s="12" t="inlineStr">
        <is>
          <t>P0</t>
        </is>
      </c>
      <c r="E224" s="16" t="inlineStr">
        <is>
          <t>Done</t>
        </is>
      </c>
      <c r="F224" s="11" t="inlineStr">
        <is>
          <t>coral-r1-tenancy.md</t>
        </is>
      </c>
      <c r="G224" s="11" t="inlineStr">
        <is>
          <t>Verified deleted 2026-09-12</t>
        </is>
      </c>
      <c r="H224" s="28" t="inlineStr">
        <is>
          <t>GATE</t>
        </is>
      </c>
      <c r="I224" t="inlineStr">
        <is>
          <t>the seraph — resolver, logicalKey, scoped accessor</t>
        </is>
      </c>
    </row>
    <row r="225">
      <c r="A225" s="11" t="inlineStr">
        <is>
          <t>R1-1b</t>
        </is>
      </c>
      <c r="B225" s="11" t="inlineStr">
        <is>
          <t>SEPARATE THE TWO FACTS: add logicalKey to GlobalDatabase; type questions ask logicalKey, identity uses the id. Retires 55 startsWith(db-) prefix matches as a class</t>
        </is>
      </c>
      <c r="C225" s="11" t="inlineStr">
        <is>
          <t>Tenancy (R1)</t>
        </is>
      </c>
      <c r="D225" s="12" t="inlineStr">
        <is>
          <t>P0</t>
        </is>
      </c>
      <c r="E225" s="11" t="inlineStr">
        <is>
          <t>Open</t>
        </is>
      </c>
      <c r="F225" s="11" t="inlineStr">
        <is>
          <t>coral-r1-tenancy.md</t>
        </is>
      </c>
      <c r="G225" s="11" t="inlineStr">
        <is>
          <t>CLARIFIED 2026-09-26: logicalKey is the REVERSE binding. Tenant.lockedDbIds answers role-&gt;id; NOTHING answers id-&gt;role, so every reverse-lookup site parses the id. That is the root of all 74 parse sites. Backfill from lockedDbIds (authoritative) — NEVER by parsing ids. @@unique([tenantId, logicalKey]). Moves EARLIER: it is the storage pass 3b spends.</t>
        </is>
      </c>
      <c r="H225" s="28" t="inlineStr">
        <is>
          <t>GATE</t>
        </is>
      </c>
      <c r="I225" t="inlineStr">
        <is>
          <t>the seraph — resolver, logicalKey, scoped accessor</t>
        </is>
      </c>
    </row>
    <row r="226">
      <c r="A226" s="11" t="inlineStr">
        <is>
          <t>R1-2</t>
        </is>
      </c>
      <c r="B226" s="11" t="inlineStr">
        <is>
          <t>ONE CANONICAL RESOLVER, FAIL-CLOSED: resolveDatabaseId is a lockedDbIds lookup; unknown key throws. Delete the (base)=&gt;base pass-through and the string-archaeology inference</t>
        </is>
      </c>
      <c r="C226" s="11" t="inlineStr">
        <is>
          <t>Tenancy (R1)</t>
        </is>
      </c>
      <c r="D226" s="12" t="inlineStr">
        <is>
          <t>P0</t>
        </is>
      </c>
      <c r="E226" s="11" t="inlineStr">
        <is>
          <t>Open</t>
        </is>
      </c>
      <c r="F226" s="11" t="inlineStr">
        <is>
          <t>coral-r1-tenancy.md</t>
        </is>
      </c>
      <c r="G226" s="11" t="inlineStr">
        <is>
          <t>[P3.3] Was: denormalise tenantId column — WITHDRAWN</t>
        </is>
      </c>
      <c r="H226" s="28" t="inlineStr">
        <is>
          <t>GATE</t>
        </is>
      </c>
      <c r="I226" t="inlineStr">
        <is>
          <t>the seraph — resolver, logicalKey, scoped accessor</t>
        </is>
      </c>
    </row>
    <row r="227">
      <c r="A227" s="11" t="inlineStr">
        <is>
          <t>R1-3</t>
        </is>
      </c>
      <c r="B227" s="11" t="inlineStr">
        <is>
          <t>SERVER NEVER TRUSTS A SUPPLIED ID: resolve from session tenant, or verify the supplied id belongs to it. Pages scope as databaseId IN (tenant ids) — no join, no column</t>
        </is>
      </c>
      <c r="C227" s="11" t="inlineStr">
        <is>
          <t>Tenancy (R1)</t>
        </is>
      </c>
      <c r="D227" s="12" t="inlineStr">
        <is>
          <t>P0</t>
        </is>
      </c>
      <c r="E227" s="11" t="inlineStr">
        <is>
          <t>Open</t>
        </is>
      </c>
      <c r="F227" s="11" t="inlineStr">
        <is>
          <t>coral-r1-tenancy.md</t>
        </is>
      </c>
      <c r="G227" s="11" t="inlineStr">
        <is>
          <t>[P3.4] Revised after Florin review 2026-09-12</t>
        </is>
      </c>
      <c r="H227" s="28" t="inlineStr">
        <is>
          <t>GATE</t>
        </is>
      </c>
      <c r="I227" t="inlineStr">
        <is>
          <t>the seraph — resolver, logicalKey, scoped accessor</t>
        </is>
      </c>
    </row>
    <row r="228">
      <c r="A228" s="11" t="inlineStr">
        <is>
          <t>R1-4</t>
        </is>
      </c>
      <c r="B228" s="11" t="inlineStr">
        <is>
          <t>THE ONLY DOOR: lib/data/tenant-scope.ts accessor; tenant from session, never a parameter; Prisma extension fails closed</t>
        </is>
      </c>
      <c r="C228" s="11" t="inlineStr">
        <is>
          <t>Tenancy (R1)</t>
        </is>
      </c>
      <c r="D228" s="12" t="inlineStr">
        <is>
          <t>P0</t>
        </is>
      </c>
      <c r="E228" s="11" t="inlineStr">
        <is>
          <t>Open</t>
        </is>
      </c>
      <c r="F228" s="11" t="inlineStr">
        <is>
          <t>coral-r1-tenancy.md</t>
        </is>
      </c>
      <c r="G228" s="11" t="inlineStr">
        <is>
          <t>[P3.5] Revised after Florin review 2026-09-12</t>
        </is>
      </c>
      <c r="H228" s="28" t="inlineStr">
        <is>
          <t>GATE</t>
        </is>
      </c>
      <c r="I228" t="inlineStr">
        <is>
          <t>the seraph — resolver, logicalKey, scoped accessor</t>
        </is>
      </c>
    </row>
    <row r="229">
      <c r="A229" s="11" t="inlineStr">
        <is>
          <t>R1-5</t>
        </is>
      </c>
      <c r="B229" s="11" t="inlineStr">
        <is>
          <t>CLOSE THE DOOR: direct prisma on tenant models outside lib/data fails CI. Prove it goes red</t>
        </is>
      </c>
      <c r="C229" s="11" t="inlineStr">
        <is>
          <t>Tenancy (R1)</t>
        </is>
      </c>
      <c r="D229" s="12" t="inlineStr">
        <is>
          <t>P0</t>
        </is>
      </c>
      <c r="E229" s="11" t="inlineStr">
        <is>
          <t>Open</t>
        </is>
      </c>
      <c r="F229" s="11" t="inlineStr">
        <is>
          <t>coral-r1-tenancy.md</t>
        </is>
      </c>
      <c r="G229" s="11" t="inlineStr">
        <is>
          <t>[P3.5] Revised after Florin review 2026-09-12</t>
        </is>
      </c>
      <c r="H229" s="28" t="inlineStr">
        <is>
          <t>GATE</t>
        </is>
      </c>
      <c r="I229" t="inlineStr">
        <is>
          <t>the seraph — resolver, logicalKey, scoped accessor</t>
        </is>
      </c>
    </row>
    <row r="230">
      <c r="A230" s="11" t="inlineStr">
        <is>
          <t>R1-6</t>
        </is>
      </c>
      <c r="B230" s="11" t="inlineStr">
        <is>
          <t>systemScope(tenantId, reason) for cron/webhook/service; vat-backfill iterates tenants; audit the other 6 system writers</t>
        </is>
      </c>
      <c r="C230" s="11" t="inlineStr">
        <is>
          <t>Tenancy (R1)</t>
        </is>
      </c>
      <c r="D230" s="13" t="inlineStr">
        <is>
          <t>P1</t>
        </is>
      </c>
      <c r="E230" s="11" t="inlineStr">
        <is>
          <t>Open</t>
        </is>
      </c>
      <c r="F230" s="11" t="inlineStr">
        <is>
          <t>coral-r1-tenancy.md</t>
        </is>
      </c>
      <c r="G230" s="11" t="inlineStr">
        <is>
          <t>[P3.6] Revised after Florin review 2026-09-12</t>
        </is>
      </c>
      <c r="H230" s="28" t="inlineStr">
        <is>
          <t>GATE</t>
        </is>
      </c>
      <c r="I230" t="inlineStr">
        <is>
          <t>the seraph — resolver, logicalKey, scoped accessor</t>
        </is>
      </c>
    </row>
    <row r="231">
      <c r="A231" s="11" t="inlineStr">
        <is>
          <t>R2-5</t>
        </is>
      </c>
      <c r="B231" s="11" t="inlineStr">
        <is>
          <t>Characterization tests for the write path BEFORE refactor: OCC cases, field merge, single-flight, dirty-page</t>
        </is>
      </c>
      <c r="C231" s="11" t="inlineStr">
        <is>
          <t>Persistence (R2)</t>
        </is>
      </c>
      <c r="D231" s="12" t="inlineStr">
        <is>
          <t>P0</t>
        </is>
      </c>
      <c r="E231" s="11" t="inlineStr">
        <is>
          <t>Open</t>
        </is>
      </c>
      <c r="F231" s="11" t="inlineStr">
        <is>
          <t>coral-r2-write-path.md</t>
        </is>
      </c>
      <c r="G231" s="11" t="inlineStr">
        <is>
          <t>[P4.1] Written first</t>
        </is>
      </c>
      <c r="H231" s="23" t="inlineStr">
        <is>
          <t>L1</t>
        </is>
      </c>
      <c r="I231" t="inlineStr">
        <is>
          <t>write path — saveRecord, intents, read model</t>
        </is>
      </c>
    </row>
    <row r="232">
      <c r="A232" s="11" t="inlineStr">
        <is>
          <t>R2-1</t>
        </is>
      </c>
      <c r="B232" s="11" t="inlineStr">
        <is>
          <t>One saveRecord() behind the accessor; 5 doors collapse to 1; 30 direct prisma writes migrated</t>
        </is>
      </c>
      <c r="C232" s="11" t="inlineStr">
        <is>
          <t>Persistence (R2)</t>
        </is>
      </c>
      <c r="D232" s="12" t="inlineStr">
        <is>
          <t>P0</t>
        </is>
      </c>
      <c r="E232" s="11" t="inlineStr">
        <is>
          <t>Open</t>
        </is>
      </c>
      <c r="F232" s="11" t="inlineStr">
        <is>
          <t>coral-r2-write-path.md</t>
        </is>
      </c>
      <c r="G232" s="11" t="inlineStr">
        <is>
          <t>[P4.2]</t>
        </is>
      </c>
      <c r="H232" s="23" t="inlineStr">
        <is>
          <t>L1</t>
        </is>
      </c>
      <c r="I232" t="inlineStr">
        <is>
          <t>write path — saveRecord, intents, read model</t>
        </is>
      </c>
    </row>
    <row r="233">
      <c r="A233" s="11" t="inlineStr">
        <is>
          <t>R2-2</t>
        </is>
      </c>
      <c r="B233" s="11" t="inlineStr">
        <is>
          <t>Writes are field-level intents, not row snapshots — the structural fix for N1</t>
        </is>
      </c>
      <c r="C233" s="11" t="inlineStr">
        <is>
          <t>Persistence (R2)</t>
        </is>
      </c>
      <c r="D233" s="12" t="inlineStr">
        <is>
          <t>P0</t>
        </is>
      </c>
      <c r="E233" s="11" t="inlineStr">
        <is>
          <t>Open</t>
        </is>
      </c>
      <c r="F233" s="11" t="inlineStr">
        <is>
          <t>coral-r2-write-path.md</t>
        </is>
      </c>
      <c r="G233" s="11" t="inlineStr">
        <is>
          <t>[P4.3]</t>
        </is>
      </c>
      <c r="H233" s="23" t="inlineStr">
        <is>
          <t>L1</t>
        </is>
      </c>
      <c r="I233" t="inlineStr">
        <is>
          <t>write path — saveRecord, intents, read model</t>
        </is>
      </c>
    </row>
    <row r="234">
      <c r="A234" s="11" t="inlineStr">
        <is>
          <t>R2-3</t>
        </is>
      </c>
      <c r="B234" s="11" t="inlineStr">
        <is>
          <t>One authority on current: store takes the server row back; re-prove OCC-15 single-flight survived</t>
        </is>
      </c>
      <c r="C234" s="11" t="inlineStr">
        <is>
          <t>Persistence (R2)</t>
        </is>
      </c>
      <c r="D234" s="12" t="inlineStr">
        <is>
          <t>P0</t>
        </is>
      </c>
      <c r="E234" s="11" t="inlineStr">
        <is>
          <t>Open</t>
        </is>
      </c>
      <c r="F234" s="11" t="inlineStr">
        <is>
          <t>coral-r2-write-path.md</t>
        </is>
      </c>
      <c r="G234" s="11" t="inlineStr">
        <is>
          <t>[P4.4]</t>
        </is>
      </c>
      <c r="H234" s="23" t="inlineStr">
        <is>
          <t>L1</t>
        </is>
      </c>
      <c r="I234" t="inlineStr">
        <is>
          <t>write path — saveRecord, intents, read model</t>
        </is>
      </c>
    </row>
    <row r="235">
      <c r="A235" s="11" t="inlineStr">
        <is>
          <t>R2-4</t>
        </is>
      </c>
      <c r="B235" s="11" t="inlineStr">
        <is>
          <t>RE-CUT by R2-6(c): shrink the store to INDEX + WORKING SET + sync queue. NOT a four-way split. Page cache goes; dirty-page protection untouchable</t>
        </is>
      </c>
      <c r="C235" s="11" t="inlineStr">
        <is>
          <t>Persistence (R2)</t>
        </is>
      </c>
      <c r="D235" s="13" t="inlineStr">
        <is>
          <t>P1</t>
        </is>
      </c>
      <c r="E235" s="11" t="inlineStr">
        <is>
          <t>Open</t>
        </is>
      </c>
      <c r="F235" s="11" t="inlineStr">
        <is>
          <t>coral-r2-write-path.md</t>
        </is>
      </c>
      <c r="G235" s="11" t="inlineStr">
        <is>
          <t>[P4.5] Unblocked. ALSO absorbs LAZY-5: the ~15 surfaces migrate once, and IS_LAZY_DATA_ENABLED is deleted here</t>
        </is>
      </c>
      <c r="H235" s="23" t="inlineStr">
        <is>
          <t>L1</t>
        </is>
      </c>
      <c r="I235" t="inlineStr">
        <is>
          <t>write path — saveRecord, intents, read model</t>
        </is>
      </c>
    </row>
    <row r="236">
      <c r="A236" s="11" t="inlineStr">
        <is>
          <t>R3-1</t>
        </is>
      </c>
      <c r="B236" s="11" t="inlineStr">
        <is>
          <t>Cell edits emit intents; delete the stale-snapshot diff loop; move (not lose) the skip/lock rules</t>
        </is>
      </c>
      <c r="C236" s="11" t="inlineStr">
        <is>
          <t>Record surface (R3)</t>
        </is>
      </c>
      <c r="D236" s="12" t="inlineStr">
        <is>
          <t>P0</t>
        </is>
      </c>
      <c r="E236" s="15" t="inlineStr">
        <is>
          <t>Dropped</t>
        </is>
      </c>
      <c r="F236" s="11" t="inlineStr">
        <is>
          <t>coral-r3-grid.md</t>
        </is>
      </c>
      <c r="G236" s="11" t="inlineStr">
        <is>
          <t>Withdrawn — would be deleted by GRID-REPLACE-1</t>
        </is>
      </c>
      <c r="H236" s="24" t="inlineStr">
        <is>
          <t>L3</t>
        </is>
      </c>
      <c r="I236" t="inlineStr">
        <is>
          <t>grid / record surface primitives</t>
        </is>
      </c>
    </row>
    <row r="237">
      <c r="A237" s="11" t="inlineStr">
        <is>
          <t>R3-A4</t>
        </is>
      </c>
      <c r="B237" s="11" t="inlineStr">
        <is>
          <t>View prop state: seed once and flag defaultPropsSeeded on every view, incl. the not-seeded path; no no-op syncDb writes</t>
        </is>
      </c>
      <c r="C237" s="11" t="inlineStr">
        <is>
          <t>Record surface (R3)</t>
        </is>
      </c>
      <c r="D237" s="13" t="inlineStr">
        <is>
          <t>P1</t>
        </is>
      </c>
      <c r="E237" s="16" t="inlineStr">
        <is>
          <t>Done</t>
        </is>
      </c>
      <c r="F237" s="11" t="inlineStr">
        <is>
          <t>coral-r3-grid.md</t>
        </is>
      </c>
      <c r="G237" s="11" t="inlineStr">
        <is>
          <t>a3f64a4</t>
        </is>
      </c>
      <c r="H237" s="24" t="inlineStr">
        <is>
          <t>L3</t>
        </is>
      </c>
      <c r="I237" t="inlineStr">
        <is>
          <t>grid / record surface primitives</t>
        </is>
      </c>
    </row>
    <row r="238">
      <c r="A238" s="11" t="inlineStr">
        <is>
          <t>R3-A3</t>
        </is>
      </c>
      <c r="B238" s="11" t="inlineStr">
        <is>
          <t>Route all system databases; getDatabaseRoute returns null on unmapped — null checks required at all 7 call sites (template literals hide it from tsc)</t>
        </is>
      </c>
      <c r="C238" s="11" t="inlineStr">
        <is>
          <t>Record surface (R3)</t>
        </is>
      </c>
      <c r="D238" s="13" t="inlineStr">
        <is>
          <t>P1</t>
        </is>
      </c>
      <c r="E238" s="16" t="inlineStr">
        <is>
          <t>Done</t>
        </is>
      </c>
      <c r="F238" s="11" t="inlineStr">
        <is>
          <t>coral-r3-grid.md</t>
        </is>
      </c>
      <c r="G238" s="11" t="inlineStr">
        <is>
          <t>756d774</t>
        </is>
      </c>
      <c r="H238" s="24" t="inlineStr">
        <is>
          <t>L3</t>
        </is>
      </c>
      <c r="I238" t="inlineStr">
        <is>
          <t>grid / record surface primitives</t>
        </is>
      </c>
    </row>
    <row r="239">
      <c r="A239" s="11" t="inlineStr">
        <is>
          <t>R3-A2</t>
        </is>
      </c>
      <c r="B239" s="11" t="inlineStr">
        <is>
          <t>PageModal focus stealing on mount + probable DSG document-level paste listener (C3) — reproduce mid-session before closing</t>
        </is>
      </c>
      <c r="C239" s="11" t="inlineStr">
        <is>
          <t>Record surface (R3)</t>
        </is>
      </c>
      <c r="D239" s="13" t="inlineStr">
        <is>
          <t>P1</t>
        </is>
      </c>
      <c r="E239" s="16" t="inlineStr">
        <is>
          <t>Done</t>
        </is>
      </c>
      <c r="F239" s="11" t="inlineStr">
        <is>
          <t>coral-r3-grid.md</t>
        </is>
      </c>
      <c r="G239" s="11" t="inlineStr">
        <is>
          <t>6e88e1b</t>
        </is>
      </c>
      <c r="H239" s="24" t="inlineStr">
        <is>
          <t>L3</t>
        </is>
      </c>
      <c r="I239" t="inlineStr">
        <is>
          <t>grid / record surface primitives</t>
        </is>
      </c>
    </row>
    <row r="240">
      <c r="A240" s="11" t="inlineStr">
        <is>
          <t>R3-B3</t>
        </is>
      </c>
      <c r="B240" s="11" t="inlineStr">
        <is>
          <t>Grid reads via accessor; no client-built id map as a scope filter; view state keyed per tenant</t>
        </is>
      </c>
      <c r="C240" s="11" t="inlineStr">
        <is>
          <t>Record surface (R3)</t>
        </is>
      </c>
      <c r="D240" s="13" t="inlineStr">
        <is>
          <t>P1</t>
        </is>
      </c>
      <c r="E240" s="11" t="inlineStr">
        <is>
          <t>Open</t>
        </is>
      </c>
      <c r="F240" s="11" t="inlineStr">
        <is>
          <t>coral-r3-grid.md</t>
        </is>
      </c>
      <c r="G240" s="11" t="inlineStr">
        <is>
          <t>Built into V2, not retrofitted</t>
        </is>
      </c>
      <c r="H240" s="24" t="inlineStr">
        <is>
          <t>L3</t>
        </is>
      </c>
      <c r="I240" t="inlineStr">
        <is>
          <t>grid / record surface primitives</t>
        </is>
      </c>
    </row>
    <row r="241">
      <c r="A241" s="11" t="inlineStr">
        <is>
          <t>R4-6</t>
        </is>
      </c>
      <c r="B241" s="11" t="inlineStr">
        <is>
          <t>Characterization fixtures for every document surface before consolidating. Disagreements go to Florin</t>
        </is>
      </c>
      <c r="C241" s="11" t="inlineStr">
        <is>
          <t>Document engine (R4)</t>
        </is>
      </c>
      <c r="D241" s="12" t="inlineStr">
        <is>
          <t>P0</t>
        </is>
      </c>
      <c r="E241" s="11" t="inlineStr">
        <is>
          <t>Open</t>
        </is>
      </c>
      <c r="F241" s="11" t="inlineStr">
        <is>
          <t>coral-r4-document-engine.md</t>
        </is>
      </c>
      <c r="G241" s="11" t="inlineStr">
        <is>
          <t>First in R4</t>
        </is>
      </c>
      <c r="H241" s="23" t="inlineStr">
        <is>
          <t>L1</t>
        </is>
      </c>
      <c r="I241" t="inlineStr">
        <is>
          <t>document engine</t>
        </is>
      </c>
    </row>
    <row r="242">
      <c r="A242" s="11" t="inlineStr">
        <is>
          <t>R4-1</t>
        </is>
      </c>
      <c r="B242" s="11" t="inlineStr">
        <is>
          <t>getDocumentLines() — the only line reader across all 9 surfaces; absorbs PI-LINES-1/2</t>
        </is>
      </c>
      <c r="C242" s="11" t="inlineStr">
        <is>
          <t>Document engine (R4)</t>
        </is>
      </c>
      <c r="D242" s="12" t="inlineStr">
        <is>
          <t>P0</t>
        </is>
      </c>
      <c r="E242" s="11" t="inlineStr">
        <is>
          <t>Open</t>
        </is>
      </c>
      <c r="F242" s="11" t="inlineStr">
        <is>
          <t>coral-r4-document-engine.md</t>
        </is>
      </c>
      <c r="G242" s="11" t="inlineStr"/>
      <c r="H242" s="23" t="inlineStr">
        <is>
          <t>L1</t>
        </is>
      </c>
      <c r="I242" t="inlineStr">
        <is>
          <t>document engine</t>
        </is>
      </c>
    </row>
    <row r="243">
      <c r="A243" s="11" t="inlineStr">
        <is>
          <t>R4-2</t>
        </is>
      </c>
      <c r="B243" s="11" t="inlineStr">
        <is>
          <t>Totals derived once via lib/invoice-totals.ts everywhere incl. portal; delete local variants</t>
        </is>
      </c>
      <c r="C243" s="11" t="inlineStr">
        <is>
          <t>Document engine (R4)</t>
        </is>
      </c>
      <c r="D243" s="12" t="inlineStr">
        <is>
          <t>P0</t>
        </is>
      </c>
      <c r="E243" s="11" t="inlineStr">
        <is>
          <t>Open</t>
        </is>
      </c>
      <c r="F243" s="11" t="inlineStr">
        <is>
          <t>coral-r4-document-engine.md</t>
        </is>
      </c>
      <c r="G243" s="11" t="inlineStr"/>
      <c r="H243" s="23" t="inlineStr">
        <is>
          <t>L1</t>
        </is>
      </c>
      <c r="I243" t="inlineStr">
        <is>
          <t>document engine</t>
        </is>
      </c>
    </row>
    <row r="244">
      <c r="A244" s="11" t="inlineStr">
        <is>
          <t>R4-4</t>
        </is>
      </c>
      <c r="B244" s="11" t="inlineStr">
        <is>
          <t>Portal renders what you sent — closes PORTAL-QUOTE-LINE-TOTAL as a consequence</t>
        </is>
      </c>
      <c r="C244" s="11" t="inlineStr">
        <is>
          <t>Document engine (R4)</t>
        </is>
      </c>
      <c r="D244" s="12" t="inlineStr">
        <is>
          <t>P0</t>
        </is>
      </c>
      <c r="E244" s="11" t="inlineStr">
        <is>
          <t>Open</t>
        </is>
      </c>
      <c r="F244" s="11" t="inlineStr">
        <is>
          <t>coral-r4-document-engine.md</t>
        </is>
      </c>
      <c r="G244" s="11" t="inlineStr">
        <is>
          <t>Client-visible</t>
        </is>
      </c>
      <c r="H244" s="23" t="inlineStr">
        <is>
          <t>L1</t>
        </is>
      </c>
      <c r="I244" t="inlineStr">
        <is>
          <t>document engine</t>
        </is>
      </c>
    </row>
    <row r="245">
      <c r="A245" s="11" t="inlineStr">
        <is>
          <t>R4-3</t>
        </is>
      </c>
      <c r="B245" s="11" t="inlineStr">
        <is>
          <t>One tree, one set of operations; absorbs ENGINE-CATEGORY-WRAPPERS + ENGINE-ADD-BLOCK-AFFORDANCES</t>
        </is>
      </c>
      <c r="C245" s="11" t="inlineStr">
        <is>
          <t>Document engine (R4)</t>
        </is>
      </c>
      <c r="D245" s="13" t="inlineStr">
        <is>
          <t>P1</t>
        </is>
      </c>
      <c r="E245" s="11" t="inlineStr">
        <is>
          <t>Open</t>
        </is>
      </c>
      <c r="F245" s="11" t="inlineStr">
        <is>
          <t>coral-r4-document-engine.md</t>
        </is>
      </c>
      <c r="G245" s="11" t="inlineStr"/>
      <c r="H245" s="23" t="inlineStr">
        <is>
          <t>L1</t>
        </is>
      </c>
      <c r="I245" t="inlineStr">
        <is>
          <t>document engine</t>
        </is>
      </c>
    </row>
    <row r="246">
      <c r="A246" s="11" t="inlineStr">
        <is>
          <t>R4-5</t>
        </is>
      </c>
      <c r="B246" s="11" t="inlineStr">
        <is>
          <t>Public document routes are token-scoped capabilities; engine reads via accessor</t>
        </is>
      </c>
      <c r="C246" s="11" t="inlineStr">
        <is>
          <t>Document engine (R4)</t>
        </is>
      </c>
      <c r="D246" s="13" t="inlineStr">
        <is>
          <t>P1</t>
        </is>
      </c>
      <c r="E246" s="11" t="inlineStr">
        <is>
          <t>Open</t>
        </is>
      </c>
      <c r="F246" s="11" t="inlineStr">
        <is>
          <t>coral-r4-document-engine.md</t>
        </is>
      </c>
      <c r="G246" s="11" t="inlineStr"/>
      <c r="H246" s="23" t="inlineStr">
        <is>
          <t>L1</t>
        </is>
      </c>
      <c r="I246" t="inlineStr">
        <is>
          <t>document engine</t>
        </is>
      </c>
    </row>
    <row r="247">
      <c r="A247" s="11" t="inlineStr">
        <is>
          <t>R2-0</t>
        </is>
      </c>
      <c r="B247" s="11" t="inlineStr">
        <is>
          <t>LAYER RULE: five doors = one core + four sideways copies. One kernel write + thin adapters; the rest deleted, not deprecated</t>
        </is>
      </c>
      <c r="C247" s="11" t="inlineStr">
        <is>
          <t>Persistence (R2)</t>
        </is>
      </c>
      <c r="D247" s="12" t="inlineStr">
        <is>
          <t>P0</t>
        </is>
      </c>
      <c r="E247" s="11" t="inlineStr">
        <is>
          <t>Open</t>
        </is>
      </c>
      <c r="F247" s="11" t="inlineStr">
        <is>
          <t>coral-r2-write-path.md</t>
        </is>
      </c>
      <c r="G247" s="11" t="inlineStr">
        <is>
          <t>Florin 2026-09-12</t>
        </is>
      </c>
      <c r="H247" s="23" t="inlineStr">
        <is>
          <t>L1</t>
        </is>
      </c>
      <c r="I247" t="inlineStr">
        <is>
          <t>write path — saveRecord, intents, read model</t>
        </is>
      </c>
    </row>
    <row r="248">
      <c r="A248" s="11" t="inlineStr">
        <is>
          <t>R3-0</t>
        </is>
      </c>
      <c r="B248" s="11" t="inlineStr">
        <is>
          <t>The grid stops being a system and becomes a view — record rules (computed skip, accountantExportedAt lock) move DOWN to the core so every surface inherits them</t>
        </is>
      </c>
      <c r="C248" s="11" t="inlineStr">
        <is>
          <t>Record surface (R3)</t>
        </is>
      </c>
      <c r="D248" s="12" t="inlineStr">
        <is>
          <t>P0</t>
        </is>
      </c>
      <c r="E248" s="15" t="inlineStr">
        <is>
          <t>Dropped</t>
        </is>
      </c>
      <c r="F248" s="11" t="inlineStr">
        <is>
          <t>coral-r3-grid.md</t>
        </is>
      </c>
      <c r="G248" s="11" t="inlineStr">
        <is>
          <t>Re-cut: delivered via GRID-REPLACE</t>
        </is>
      </c>
      <c r="H248" s="24" t="inlineStr">
        <is>
          <t>L3</t>
        </is>
      </c>
      <c r="I248" t="inlineStr">
        <is>
          <t>grid / record surface primitives</t>
        </is>
      </c>
    </row>
    <row r="249">
      <c r="A249" s="11" t="inlineStr">
        <is>
          <t>R3-A1</t>
        </is>
      </c>
      <c r="B249" s="11" t="inlineStr">
        <is>
          <t>VERIFY: does the accountantExportedAt edit lock exist outside the grid? If not, record detail could edit exported documents all along</t>
        </is>
      </c>
      <c r="C249" s="11" t="inlineStr">
        <is>
          <t>Record surface (R3)</t>
        </is>
      </c>
      <c r="D249" s="12" t="inlineStr">
        <is>
          <t>P0</t>
        </is>
      </c>
      <c r="E249" s="16" t="inlineStr">
        <is>
          <t>Done</t>
        </is>
      </c>
      <c r="F249" s="11" t="inlineStr">
        <is>
          <t>coral-r3-grid.md</t>
        </is>
      </c>
      <c r="G249" s="11" t="inlineStr">
        <is>
          <t>CONFIRMED: lock exists ONLY at NotionGrid.tsx:1157 — see EXPORT-LOCK-CORE</t>
        </is>
      </c>
      <c r="H249" s="24" t="inlineStr">
        <is>
          <t>L3</t>
        </is>
      </c>
      <c r="I249" t="inlineStr">
        <is>
          <t>grid / record surface primitives</t>
        </is>
      </c>
    </row>
    <row r="250">
      <c r="A250" s="11" t="inlineStr">
        <is>
          <t>R3-B1</t>
        </is>
      </c>
      <c r="B250" s="11" t="inlineStr">
        <is>
          <t>GRID-REPLACE V2 consumes the core intent API — the whole-row diff loop is NOT reimplemented in any form</t>
        </is>
      </c>
      <c r="C250" s="11" t="inlineStr">
        <is>
          <t>Record surface (R3)</t>
        </is>
      </c>
      <c r="D250" s="12" t="inlineStr">
        <is>
          <t>P0</t>
        </is>
      </c>
      <c r="E250" s="11" t="inlineStr">
        <is>
          <t>Open</t>
        </is>
      </c>
      <c r="F250" s="11" t="inlineStr">
        <is>
          <t>coral-r3-grid.md</t>
        </is>
      </c>
      <c r="G250" s="11" t="inlineStr">
        <is>
          <t>After R2</t>
        </is>
      </c>
      <c r="H250" s="24" t="inlineStr">
        <is>
          <t>L3</t>
        </is>
      </c>
      <c r="I250" t="inlineStr">
        <is>
          <t>grid / record surface primitives</t>
        </is>
      </c>
    </row>
    <row r="251">
      <c r="A251" s="11" t="inlineStr">
        <is>
          <t>R3-B2</t>
        </is>
      </c>
      <c r="B251" s="11" t="inlineStr">
        <is>
          <t>Record rules move DOWN to the core, not across into V2 (computed skip, accountantExportedAt lock); blocked edits say why</t>
        </is>
      </c>
      <c r="C251" s="11" t="inlineStr">
        <is>
          <t>Record surface (R3)</t>
        </is>
      </c>
      <c r="D251" s="12" t="inlineStr">
        <is>
          <t>P0</t>
        </is>
      </c>
      <c r="E251" s="11" t="inlineStr">
        <is>
          <t>Open</t>
        </is>
      </c>
      <c r="F251" s="11" t="inlineStr">
        <is>
          <t>coral-r3-grid.md</t>
        </is>
      </c>
      <c r="G251" s="11" t="inlineStr">
        <is>
          <t>Not a sideways copy</t>
        </is>
      </c>
      <c r="H251" s="24" t="inlineStr">
        <is>
          <t>L3</t>
        </is>
      </c>
      <c r="I251" t="inlineStr">
        <is>
          <t>grid / record surface primitives</t>
        </is>
      </c>
    </row>
    <row r="252">
      <c r="A252" s="11" t="inlineStr">
        <is>
          <t>R3-B4</t>
        </is>
      </c>
      <c r="B252" s="11" t="inlineStr">
        <is>
          <t>Parity checklist proven on 2+ databases before the flag flips</t>
        </is>
      </c>
      <c r="C252" s="11" t="inlineStr">
        <is>
          <t>Record surface (R3)</t>
        </is>
      </c>
      <c r="D252" s="13" t="inlineStr">
        <is>
          <t>P1</t>
        </is>
      </c>
      <c r="E252" s="11" t="inlineStr">
        <is>
          <t>Open</t>
        </is>
      </c>
      <c r="F252" s="11" t="inlineStr">
        <is>
          <t>coral-r3-grid.md</t>
        </is>
      </c>
      <c r="G252" s="11" t="inlineStr"/>
      <c r="H252" s="24" t="inlineStr">
        <is>
          <t>L3</t>
        </is>
      </c>
      <c r="I252" t="inlineStr">
        <is>
          <t>grid / record surface primitives</t>
        </is>
      </c>
    </row>
    <row r="253">
      <c r="A253" s="11" t="inlineStr">
        <is>
          <t>R3-B5</t>
        </is>
      </c>
      <c r="B253" s="11" t="inlineStr">
        <is>
          <t>Delete react-datasheet-grid and the flag</t>
        </is>
      </c>
      <c r="C253" s="11" t="inlineStr">
        <is>
          <t>Record surface (R3)</t>
        </is>
      </c>
      <c r="D253" s="13" t="inlineStr">
        <is>
          <t>P1</t>
        </is>
      </c>
      <c r="E253" s="11" t="inlineStr">
        <is>
          <t>Open</t>
        </is>
      </c>
      <c r="F253" s="11" t="inlineStr">
        <is>
          <t>coral-r3-grid.md</t>
        </is>
      </c>
      <c r="G253" s="11" t="inlineStr">
        <is>
          <t>No retained fallback</t>
        </is>
      </c>
      <c r="H253" s="24" t="inlineStr">
        <is>
          <t>L3</t>
        </is>
      </c>
      <c r="I253" t="inlineStr">
        <is>
          <t>grid / record surface primitives</t>
        </is>
      </c>
    </row>
    <row r="254">
      <c r="A254" s="11" t="inlineStr">
        <is>
          <t>R3-C</t>
        </is>
      </c>
      <c r="B254" s="11" t="inlineStr">
        <is>
          <t>FREEZE NotionGrid.tsx / useGridColumns / columns-* until GRID-REPLACE (incl. GRID-3 column resize). Exception: data-loss or security only</t>
        </is>
      </c>
      <c r="C254" s="11" t="inlineStr">
        <is>
          <t>Record surface (R3)</t>
        </is>
      </c>
      <c r="D254" s="13" t="inlineStr">
        <is>
          <t>P1</t>
        </is>
      </c>
      <c r="E254" s="11" t="inlineStr">
        <is>
          <t>Open</t>
        </is>
      </c>
      <c r="F254" s="11" t="inlineStr">
        <is>
          <t>coral-r3-grid.md</t>
        </is>
      </c>
      <c r="G254" s="11" t="inlineStr">
        <is>
          <t>Stop paying twice</t>
        </is>
      </c>
      <c r="H254" s="24" t="inlineStr">
        <is>
          <t>L3</t>
        </is>
      </c>
      <c r="I254" t="inlineStr">
        <is>
          <t>grid / record surface primitives</t>
        </is>
      </c>
    </row>
    <row r="255">
      <c r="A255" s="11" t="inlineStr">
        <is>
          <t>EXPORT-LOCK-CORE</t>
        </is>
      </c>
      <c r="B255" s="11" t="inlineStr">
        <is>
          <t>Shared checkExportLock() in lib/records/export-lock.ts, called at saveGlobalPage + saveGlobalPagesBatch + updatePageServerFirst. Fails loudly naming blocked fields</t>
        </is>
      </c>
      <c r="C255" s="11" t="inlineStr">
        <is>
          <t>Tenancy/Core</t>
        </is>
      </c>
      <c r="D255" s="12" t="inlineStr">
        <is>
          <t>P0</t>
        </is>
      </c>
      <c r="E255" s="16" t="inlineStr">
        <is>
          <t>Done</t>
        </is>
      </c>
      <c r="F255" s="11" t="inlineStr">
        <is>
          <t>coder-directive-r3a.md</t>
        </is>
      </c>
      <c r="G255" s="11" t="inlineStr">
        <is>
          <t>672c264</t>
        </is>
      </c>
      <c r="H255" s="28" t="inlineStr">
        <is>
          <t>MODULE GATE</t>
        </is>
      </c>
      <c r="I255" t="inlineStr">
        <is>
          <t>export lock</t>
        </is>
      </c>
    </row>
    <row r="256">
      <c r="A256" s="11" t="inlineStr">
        <is>
          <t>OVL-1</t>
        </is>
      </c>
      <c r="B256" s="11" t="inlineStr">
        <is>
          <t>useOverlayEventShield() — one hook stopping all 8 DSG document listeners at the overlay boundary; bubble stop on root + capture guard for strays. Never preventDefault</t>
        </is>
      </c>
      <c r="C256" s="11" t="inlineStr">
        <is>
          <t>Overlay / grid</t>
        </is>
      </c>
      <c r="D256" s="12" t="inlineStr">
        <is>
          <t>P0</t>
        </is>
      </c>
      <c r="E256" s="16" t="inlineStr">
        <is>
          <t>Done</t>
        </is>
      </c>
      <c r="F256" s="11" t="inlineStr">
        <is>
          <t>coral-overlay-event-shield.md</t>
        </is>
      </c>
      <c r="G256" s="11" t="inlineStr">
        <is>
          <t>f7af3ef — see C6-C9 follow-up</t>
        </is>
      </c>
      <c r="H256" s="27" t="inlineStr">
        <is>
          <t>L0</t>
        </is>
      </c>
      <c r="I256" t="inlineStr">
        <is>
          <t>interaction — overlay event shield</t>
        </is>
      </c>
    </row>
    <row r="257">
      <c r="A257" s="11" t="inlineStr">
        <is>
          <t>OVL-2</t>
        </is>
      </c>
      <c r="B257" s="11" t="inlineStr">
        <is>
          <t>PageModal adopts the shield; delete its ad hoc keydown stopPropagation</t>
        </is>
      </c>
      <c r="C257" s="11" t="inlineStr">
        <is>
          <t>Overlay / grid</t>
        </is>
      </c>
      <c r="D257" s="12" t="inlineStr">
        <is>
          <t>P0</t>
        </is>
      </c>
      <c r="E257" s="16" t="inlineStr">
        <is>
          <t>Done</t>
        </is>
      </c>
      <c r="F257" s="11" t="inlineStr">
        <is>
          <t>coral-overlay-event-shield.md</t>
        </is>
      </c>
      <c r="G257" s="11" t="inlineStr">
        <is>
          <t>4b612f8 — see C6-C9 follow-up</t>
        </is>
      </c>
      <c r="H257" s="27" t="inlineStr">
        <is>
          <t>L0</t>
        </is>
      </c>
      <c r="I257" t="inlineStr">
        <is>
          <t>interaction — overlay event shield</t>
        </is>
      </c>
    </row>
    <row r="258">
      <c r="A258" s="11" t="inlineStr">
        <is>
          <t>OVL-3</t>
        </is>
      </c>
      <c r="B258" s="11" t="inlineStr">
        <is>
          <t>Sweep remaining overlays over the grid (send modals, TicketCapture, schema editor, shift editor) — enumerate as adopted</t>
        </is>
      </c>
      <c r="C258" s="11" t="inlineStr">
        <is>
          <t>Overlay / grid</t>
        </is>
      </c>
      <c r="D258" s="13" t="inlineStr">
        <is>
          <t>P1</t>
        </is>
      </c>
      <c r="E258" s="16" t="inlineStr">
        <is>
          <t>Done</t>
        </is>
      </c>
      <c r="F258" s="11" t="inlineStr">
        <is>
          <t>coral-overlay-event-shield.md</t>
        </is>
      </c>
      <c r="G258" s="11" t="inlineStr">
        <is>
          <t>139d3dc — see C6-C9 follow-up</t>
        </is>
      </c>
      <c r="H258" s="27" t="inlineStr">
        <is>
          <t>L0</t>
        </is>
      </c>
      <c r="I258" t="inlineStr">
        <is>
          <t>interaction — overlay event shield</t>
        </is>
      </c>
    </row>
    <row r="259">
      <c r="A259" s="11" t="inlineStr">
        <is>
          <t>OVL-4</t>
        </is>
      </c>
      <c r="B259" s="11" t="inlineStr">
        <is>
          <t>Delete the shield in GRID-REPLACE-5 alongside react-datasheet-grid</t>
        </is>
      </c>
      <c r="C259" s="11" t="inlineStr">
        <is>
          <t>Overlay / grid</t>
        </is>
      </c>
      <c r="D259" s="14" t="inlineStr">
        <is>
          <t>P2</t>
        </is>
      </c>
      <c r="E259" s="16" t="inlineStr">
        <is>
          <t>Done</t>
        </is>
      </c>
      <c r="F259" s="11" t="inlineStr">
        <is>
          <t>coral-overlay-event-shield.md</t>
        </is>
      </c>
      <c r="G259" s="11" t="inlineStr">
        <is>
          <t>cece86a — see C6-C9 follow-up</t>
        </is>
      </c>
      <c r="H259" s="27" t="inlineStr">
        <is>
          <t>L0</t>
        </is>
      </c>
      <c r="I259" t="inlineStr">
        <is>
          <t>interaction — overlay event shield</t>
        </is>
      </c>
    </row>
    <row r="260">
      <c r="A260" s="11" t="inlineStr">
        <is>
          <t>OVL-C6</t>
        </is>
      </c>
      <c r="B260" s="11" t="inlineStr">
        <is>
          <t>Narrow the document capture guard to clipboard events only — it currently swallows mouse/keyboard events outside the overlay before they reach their target</t>
        </is>
      </c>
      <c r="C260" s="11" t="inlineStr">
        <is>
          <t>Overlay / grid</t>
        </is>
      </c>
      <c r="D260" s="12" t="inlineStr">
        <is>
          <t>P0</t>
        </is>
      </c>
      <c r="E260" s="16" t="inlineStr">
        <is>
          <t>Done</t>
        </is>
      </c>
      <c r="F260" s="11" t="inlineStr">
        <is>
          <t>coral-overlay-event-shield.md</t>
        </is>
      </c>
      <c r="G260" s="11" t="inlineStr">
        <is>
          <t>7cc2422 (OVL-5)</t>
        </is>
      </c>
      <c r="H260" s="27" t="inlineStr">
        <is>
          <t>L0</t>
        </is>
      </c>
      <c r="I260" t="inlineStr">
        <is>
          <t>interaction — overlay event shield</t>
        </is>
      </c>
    </row>
    <row r="261">
      <c r="A261" s="11" t="inlineStr">
        <is>
          <t>OVL-C7</t>
        </is>
      </c>
      <c r="B261" s="11" t="inlineStr">
        <is>
          <t>Overlays adopting the shield must register their own document listeners in CAPTURE. Fix PageModal.tsx:662 mouseup; audit the 10 adopted overlays</t>
        </is>
      </c>
      <c r="C261" s="11" t="inlineStr">
        <is>
          <t>Overlay / grid</t>
        </is>
      </c>
      <c r="D261" s="12" t="inlineStr">
        <is>
          <t>P0</t>
        </is>
      </c>
      <c r="E261" s="16" t="inlineStr">
        <is>
          <t>Done</t>
        </is>
      </c>
      <c r="F261" s="11" t="inlineStr">
        <is>
          <t>coral-overlay-event-shield.md</t>
        </is>
      </c>
      <c r="G261" s="11" t="inlineStr">
        <is>
          <t>7cc2422 (OVL-5)</t>
        </is>
      </c>
      <c r="H261" s="27" t="inlineStr">
        <is>
          <t>L0</t>
        </is>
      </c>
      <c r="I261" t="inlineStr">
        <is>
          <t>interaction — overlay event shield</t>
        </is>
      </c>
    </row>
    <row r="262">
      <c r="A262" s="11" t="inlineStr">
        <is>
          <t>OVL-C8</t>
        </is>
      </c>
      <c r="B262" s="11" t="inlineStr">
        <is>
          <t>Remove mousemove from SHIELDED_EVENTS — buys nothing, costs a contains() per mouse move per overlay</t>
        </is>
      </c>
      <c r="C262" s="11" t="inlineStr">
        <is>
          <t>Overlay / grid</t>
        </is>
      </c>
      <c r="D262" s="13" t="inlineStr">
        <is>
          <t>P1</t>
        </is>
      </c>
      <c r="E262" s="16" t="inlineStr">
        <is>
          <t>Done</t>
        </is>
      </c>
      <c r="F262" s="11" t="inlineStr">
        <is>
          <t>coral-overlay-event-shield.md</t>
        </is>
      </c>
      <c r="G262" s="11" t="inlineStr">
        <is>
          <t>7cc2422 (OVL-5)</t>
        </is>
      </c>
      <c r="H262" s="27" t="inlineStr">
        <is>
          <t>L0</t>
        </is>
      </c>
      <c r="I262" t="inlineStr">
        <is>
          <t>interaction — overlay event shield</t>
        </is>
      </c>
    </row>
    <row r="263">
      <c r="A263" s="11" t="inlineStr">
        <is>
          <t>OVL-C9</t>
        </is>
      </c>
      <c r="B263" s="11" t="inlineStr">
        <is>
          <t>Confirm ProjectDetailView is a true transient overlay; remove from the adopted list if persistently mounted</t>
        </is>
      </c>
      <c r="C263" s="11" t="inlineStr">
        <is>
          <t>Overlay / grid</t>
        </is>
      </c>
      <c r="D263" s="13" t="inlineStr">
        <is>
          <t>P1</t>
        </is>
      </c>
      <c r="E263" s="16" t="inlineStr">
        <is>
          <t>Done</t>
        </is>
      </c>
      <c r="F263" s="11" t="inlineStr">
        <is>
          <t>coral-overlay-event-shield.md</t>
        </is>
      </c>
      <c r="G263" s="11" t="inlineStr">
        <is>
          <t>7cc2422 (OVL-5)</t>
        </is>
      </c>
      <c r="H263" s="27" t="inlineStr">
        <is>
          <t>L0</t>
        </is>
      </c>
      <c r="I263" t="inlineStr">
        <is>
          <t>interaction — overlay event shield</t>
        </is>
      </c>
    </row>
    <row r="264">
      <c r="A264" s="11" t="inlineStr">
        <is>
          <t>R1-1a</t>
        </is>
      </c>
      <c r="B264" s="11" t="inlineStr">
        <is>
          <t>RECONCILE THE TWO LISTS: SYSTEM_DB_PREFIXES (14) vs BASE_TO_KEY (16). db-hr and db-journal-general are locked DBs but isSystemDatabase() says false, so createPageServerFirst skips tenant resolution for them</t>
        </is>
      </c>
      <c r="C264" s="11" t="inlineStr">
        <is>
          <t>Tenancy (R1)</t>
        </is>
      </c>
      <c r="D264" s="12" t="inlineStr">
        <is>
          <t>P0</t>
        </is>
      </c>
      <c r="E264" s="11" t="inlineStr">
        <is>
          <t>Open</t>
        </is>
      </c>
      <c r="F264" s="11" t="inlineStr">
        <is>
          <t>coral-r1-tenancy.md</t>
        </is>
      </c>
      <c r="G264" s="11" t="inlineStr">
        <is>
          <t>SAME TASK AS KERN-6 / pass 3a. Planner rediscovered this independently on 2026-09-25 and wrote it up as new (KERN-6a). Tonight's version is wider: five lists, 74 parse sites.</t>
        </is>
      </c>
      <c r="H264" s="28" t="inlineStr">
        <is>
          <t>GATE</t>
        </is>
      </c>
      <c r="I264" t="inlineStr">
        <is>
          <t>the seraph — resolver, logicalKey, scoped accessor</t>
        </is>
      </c>
    </row>
    <row r="265">
      <c r="A265" s="11" t="inlineStr">
        <is>
          <t>ACCT-SALES-PDF</t>
        </is>
      </c>
      <c r="B265" s="11" t="inlineStr">
        <is>
          <t>QUESTION: 128 records have NO stored document and 71 of those are stamped accountantExportedAt. If sales invoices never store a receiptUrl, the accountant ZIP has only purchase PDFs + CSVs</t>
        </is>
      </c>
      <c r="C265" s="11" t="inlineStr">
        <is>
          <t>Finance · Accountant</t>
        </is>
      </c>
      <c r="D265" s="13" t="inlineStr">
        <is>
          <t>P1</t>
        </is>
      </c>
      <c r="E265" s="16" t="inlineStr">
        <is>
          <t>Done</t>
        </is>
      </c>
      <c r="F265" s="11" t="inlineStr">
        <is>
          <t>blob-0-census.sql</t>
        </is>
      </c>
      <c r="G265" s="11" t="inlineStr">
        <is>
          <t>ANSWERED: never built. Spec -&gt; coral-document-archive.md</t>
        </is>
      </c>
      <c r="H265" s="28" t="inlineStr">
        <is>
          <t>MODULE GATE</t>
        </is>
      </c>
      <c r="I265" t="inlineStr">
        <is>
          <t>accountant export</t>
        </is>
      </c>
    </row>
    <row r="266">
      <c r="A266" s="11" t="inlineStr">
        <is>
          <t>DOC-ARCH-1</t>
        </is>
      </c>
      <c r="B266" s="11" t="inlineStr">
        <is>
          <t>Capture the transmitted PDF: persist the buffer BEFORE sending (email + Peppol), write key to receiptUrl, never overwrite (-v2). Archive == what the client received</t>
        </is>
      </c>
      <c r="C266" s="11" t="inlineStr">
        <is>
          <t>Document archive</t>
        </is>
      </c>
      <c r="D266" s="12" t="inlineStr">
        <is>
          <t>P0</t>
        </is>
      </c>
      <c r="E266" s="16" t="inlineStr">
        <is>
          <t>Done</t>
        </is>
      </c>
      <c r="F266" s="11" t="inlineStr">
        <is>
          <t>coder-directive-doc-archive.md</t>
        </is>
      </c>
      <c r="G266" s="11" t="inlineStr">
        <is>
          <t>0648d7e</t>
        </is>
      </c>
      <c r="H266" s="23" t="inlineStr">
        <is>
          <t>L1</t>
        </is>
      </c>
      <c r="I266" t="inlineStr">
        <is>
          <t>document engine — archive</t>
        </is>
      </c>
    </row>
    <row r="267">
      <c r="A267" s="11" t="inlineStr">
        <is>
          <t>DOC-ARCH-2</t>
        </is>
      </c>
      <c r="B267" s="11" t="inlineStr">
        <is>
          <t>Server-side render for issues without transmission (@react-pdf/renderer, pattern already in hr/timesheet-export)</t>
        </is>
      </c>
      <c r="C267" s="11" t="inlineStr">
        <is>
          <t>Document archive</t>
        </is>
      </c>
      <c r="D267" s="13" t="inlineStr">
        <is>
          <t>P1</t>
        </is>
      </c>
      <c r="E267" s="11" t="inlineStr">
        <is>
          <t>Open</t>
        </is>
      </c>
      <c r="F267" s="11" t="inlineStr">
        <is>
          <t>coral-document-archive.md</t>
        </is>
      </c>
      <c r="G267" s="11" t="inlineStr">
        <is>
          <t>After R4-1</t>
        </is>
      </c>
      <c r="H267" s="23" t="inlineStr">
        <is>
          <t>L1</t>
        </is>
      </c>
      <c r="I267" t="inlineStr">
        <is>
          <t>document engine — archive</t>
        </is>
      </c>
    </row>
    <row r="268">
      <c r="A268" s="11" t="inlineStr">
        <is>
          <t>DOC-ARCH-3</t>
        </is>
      </c>
      <c r="B268" s="11" t="inlineStr">
        <is>
          <t>One accessor for "the document of this record"; displaying never re-renders</t>
        </is>
      </c>
      <c r="C268" s="11" t="inlineStr">
        <is>
          <t>Document archive</t>
        </is>
      </c>
      <c r="D268" s="13" t="inlineStr">
        <is>
          <t>P1</t>
        </is>
      </c>
      <c r="E268" s="11" t="inlineStr">
        <is>
          <t>Open</t>
        </is>
      </c>
      <c r="F268" s="11" t="inlineStr">
        <is>
          <t>coral-document-archive.md</t>
        </is>
      </c>
      <c r="G268" s="11" t="inlineStr"/>
      <c r="H268" s="23" t="inlineStr">
        <is>
          <t>L1</t>
        </is>
      </c>
      <c r="I268" t="inlineStr">
        <is>
          <t>document engine — archive</t>
        </is>
      </c>
    </row>
    <row r="269">
      <c r="A269" s="11" t="inlineStr">
        <is>
          <t>DOC-ARCH-4</t>
        </is>
      </c>
      <c r="B269" s="11" t="inlineStr">
        <is>
          <t>Trigger is issue/sent transition, not save. Same event as the export lock</t>
        </is>
      </c>
      <c r="C269" s="11" t="inlineStr">
        <is>
          <t>Document archive</t>
        </is>
      </c>
      <c r="D269" s="12" t="inlineStr">
        <is>
          <t>P0</t>
        </is>
      </c>
      <c r="E269" s="16" t="inlineStr">
        <is>
          <t>Done</t>
        </is>
      </c>
      <c r="F269" s="11" t="inlineStr">
        <is>
          <t>coder-directive-doc-archive.md</t>
        </is>
      </c>
      <c r="G269" s="11" t="inlineStr">
        <is>
          <t>0648d7e</t>
        </is>
      </c>
      <c r="H269" s="23" t="inlineStr">
        <is>
          <t>L1</t>
        </is>
      </c>
      <c r="I269" t="inlineStr">
        <is>
          <t>document engine — archive</t>
        </is>
      </c>
    </row>
    <row r="270">
      <c r="A270" s="11" t="inlineStr">
        <is>
          <t>DOC-ARCH-5</t>
        </is>
      </c>
      <c r="B270" s="11" t="inlineStr">
        <is>
          <t>NO bulk backfill (decided). Manual "Archive this document" action on the engine, reusing generatePdfBlob; stamps documentReconstructed + date, filename -reconstructed.pdf</t>
        </is>
      </c>
      <c r="C270" s="11" t="inlineStr">
        <is>
          <t>Document archive</t>
        </is>
      </c>
      <c r="D270" s="13" t="inlineStr">
        <is>
          <t>P1</t>
        </is>
      </c>
      <c r="E270" s="16" t="inlineStr">
        <is>
          <t>Done</t>
        </is>
      </c>
      <c r="F270" s="11" t="inlineStr">
        <is>
          <t>coder-directive-doc-archive.md</t>
        </is>
      </c>
      <c r="G270" s="11" t="inlineStr">
        <is>
          <t>c529202</t>
        </is>
      </c>
      <c r="H270" s="23" t="inlineStr">
        <is>
          <t>L1</t>
        </is>
      </c>
      <c r="I270" t="inlineStr">
        <is>
          <t>document engine — archive</t>
        </is>
      </c>
    </row>
    <row r="271">
      <c r="A271" s="11" t="inlineStr">
        <is>
          <t>DOC-ARCH-6</t>
        </is>
      </c>
      <c r="B271" s="11" t="inlineStr">
        <is>
          <t>Later: flag issued invoices with no archived document in the export. Must NOT apply retroactively</t>
        </is>
      </c>
      <c r="C271" s="11" t="inlineStr">
        <is>
          <t>Document archive</t>
        </is>
      </c>
      <c r="D271" s="14" t="inlineStr">
        <is>
          <t>P2</t>
        </is>
      </c>
      <c r="E271" s="11" t="inlineStr">
        <is>
          <t>Open</t>
        </is>
      </c>
      <c r="F271" s="11" t="inlineStr">
        <is>
          <t>coral-document-archive.md</t>
        </is>
      </c>
      <c r="G271" s="11" t="inlineStr"/>
      <c r="H271" s="23" t="inlineStr">
        <is>
          <t>L1</t>
        </is>
      </c>
      <c r="I271" t="inlineStr">
        <is>
          <t>document engine — archive</t>
        </is>
      </c>
    </row>
    <row r="272">
      <c r="A272" s="11" t="inlineStr">
        <is>
          <t>DOC-LABEL</t>
        </is>
      </c>
      <c r="B272" s="11" t="inlineStr">
        <is>
          <t>receiptUrl is displayed under two names (Origineel Document / Bonnetje). One field, one localised label</t>
        </is>
      </c>
      <c r="C272" s="11" t="inlineStr">
        <is>
          <t>Document archive</t>
        </is>
      </c>
      <c r="D272" s="14" t="inlineStr">
        <is>
          <t>P2</t>
        </is>
      </c>
      <c r="E272" s="11" t="inlineStr">
        <is>
          <t>Open</t>
        </is>
      </c>
      <c r="F272" s="11" t="inlineStr">
        <is>
          <t>coral-document-archive.md</t>
        </is>
      </c>
      <c r="G272" s="11" t="inlineStr">
        <is>
          <t>Cleanup, same pass</t>
        </is>
      </c>
      <c r="H272" s="23" t="inlineStr">
        <is>
          <t>L1</t>
        </is>
      </c>
      <c r="I272" t="inlineStr">
        <is>
          <t>document engine — archive</t>
        </is>
      </c>
    </row>
    <row r="273">
      <c r="A273" s="11" t="inlineStr">
        <is>
          <t>DOC-ARCH-0</t>
        </is>
      </c>
      <c r="B273" s="11" t="inlineStr">
        <is>
          <t>EXPORT-LOCK conflict: archiving writes receiptUrl, which the lock blocks on exported records. Add named ARCHIVE_FIELDS exemption (3 fields, no bypass flag)</t>
        </is>
      </c>
      <c r="C273" s="11" t="inlineStr">
        <is>
          <t>Document archive</t>
        </is>
      </c>
      <c r="D273" s="12" t="inlineStr">
        <is>
          <t>P0</t>
        </is>
      </c>
      <c r="E273" s="16" t="inlineStr">
        <is>
          <t>Done</t>
        </is>
      </c>
      <c r="F273" s="11" t="inlineStr">
        <is>
          <t>coder-directive-doc-archive.md</t>
        </is>
      </c>
      <c r="G273" s="11" t="inlineStr">
        <is>
          <t>e070a6f</t>
        </is>
      </c>
      <c r="H273" s="23" t="inlineStr">
        <is>
          <t>L1</t>
        </is>
      </c>
      <c r="I273" t="inlineStr">
        <is>
          <t>document engine — archive</t>
        </is>
      </c>
    </row>
    <row r="274">
      <c r="A274" s="11" t="inlineStr">
        <is>
          <t>R2-1-FABRICATED-PAGE</t>
        </is>
      </c>
      <c r="B274" s="11" t="inlineStr">
        <is>
          <t>updatePageServerFirst returns a Page with hardcoded blocks:[] and blocksVersion:1 (pages.ts:226-227) regardless of reality. Any consumer feeding it to the store wipes blocks + resets OCC</t>
        </is>
      </c>
      <c r="C274" s="11" t="inlineStr">
        <is>
          <t>Persistence (R2)</t>
        </is>
      </c>
      <c r="D274" s="12" t="inlineStr">
        <is>
          <t>P0</t>
        </is>
      </c>
      <c r="E274" s="11" t="inlineStr">
        <is>
          <t>Open</t>
        </is>
      </c>
      <c r="F274" s="11" t="inlineStr">
        <is>
          <t>coral-r2-write-path.md</t>
        </is>
      </c>
      <c r="G274" s="11" t="inlineStr">
        <is>
          <t>[P4.2] Landmine found 2026-09-12</t>
        </is>
      </c>
      <c r="H274" s="23" t="inlineStr">
        <is>
          <t>L1</t>
        </is>
      </c>
      <c r="I274" t="inlineStr">
        <is>
          <t>write path — saveRecord, intents, read model</t>
        </is>
      </c>
    </row>
    <row r="275">
      <c r="A275" s="11" t="inlineStr">
        <is>
          <t>CHORE-DUP-ENGINE</t>
        </is>
      </c>
      <c r="B275" s="11" t="inlineStr">
        <is>
          <t>Delete 0-byte src/components/admin/quotations/ClientQuotationEngine 2.tsx — imported nowhere</t>
        </is>
      </c>
      <c r="C275" s="11" t="inlineStr">
        <is>
          <t>Housekeeping</t>
        </is>
      </c>
      <c r="D275" s="14" t="inlineStr">
        <is>
          <t>P2</t>
        </is>
      </c>
      <c r="E275" s="11" t="inlineStr">
        <is>
          <t>Open</t>
        </is>
      </c>
      <c r="F275" s="11" t="inlineStr">
        <is>
          <t>coder-directive-doc-archive.md</t>
        </is>
      </c>
      <c r="G275" s="11" t="inlineStr">
        <is>
          <t>D4</t>
        </is>
      </c>
      <c r="H275" s="25" t="inlineStr">
        <is>
          <t>⟂</t>
        </is>
      </c>
      <c r="I275" t="inlineStr">
        <is>
          <t>housekeeping</t>
        </is>
      </c>
    </row>
    <row r="276">
      <c r="A276" s="11" t="inlineStr">
        <is>
          <t>TASK-M1</t>
        </is>
      </c>
      <c r="B276" s="11" t="inlineStr">
        <is>
          <t>/m/tasks — a real page in the installed mobile PWA (not a link to /admin/tasks, not a responsive squeeze)</t>
        </is>
      </c>
      <c r="C276" s="11" t="inlineStr">
        <is>
          <t>Tasks · Mobile</t>
        </is>
      </c>
      <c r="D276" s="12" t="inlineStr">
        <is>
          <t>P0</t>
        </is>
      </c>
      <c r="E276" s="16" t="inlineStr">
        <is>
          <t>Done</t>
        </is>
      </c>
      <c r="F276" s="11" t="inlineStr">
        <is>
          <t>coder-directive-tasks-part-a.md</t>
        </is>
      </c>
      <c r="G276" s="11" t="inlineStr">
        <is>
          <t>66ef43a</t>
        </is>
      </c>
      <c r="H276" s="24" t="inlineStr">
        <is>
          <t>L3</t>
        </is>
      </c>
      <c r="I276" t="inlineStr">
        <is>
          <t>Tasks submodule</t>
        </is>
      </c>
    </row>
    <row r="277">
      <c r="A277" s="11" t="inlineStr">
        <is>
          <t>TASK-M2</t>
        </is>
      </c>
      <c r="B277" s="11" t="inlineStr">
        <is>
          <t>Capture in 2 taps / 5 seconds from cold. Title-only is a complete task. This number decides whether the tool is trusted</t>
        </is>
      </c>
      <c r="C277" s="11" t="inlineStr">
        <is>
          <t>Tasks · Mobile</t>
        </is>
      </c>
      <c r="D277" s="12" t="inlineStr">
        <is>
          <t>P0</t>
        </is>
      </c>
      <c r="E277" s="11" t="inlineStr">
        <is>
          <t>Open</t>
        </is>
      </c>
      <c r="F277" s="11" t="inlineStr">
        <is>
          <t>coder-directive-tasks-part-a.md</t>
        </is>
      </c>
      <c r="G277" s="11" t="inlineStr"/>
      <c r="H277" s="24" t="inlineStr">
        <is>
          <t>L3</t>
        </is>
      </c>
      <c r="I277" t="inlineStr">
        <is>
          <t>Tasks submodule</t>
        </is>
      </c>
    </row>
    <row r="278">
      <c r="A278" s="11" t="inlineStr">
        <is>
          <t>TASK-M3</t>
        </is>
      </c>
      <c r="B278" s="11" t="inlineStr">
        <is>
          <t>Capture survives offline — queued via existing sw.js + syncQueue dirty-page protection; UI states it honestly. No second queue</t>
        </is>
      </c>
      <c r="C278" s="11" t="inlineStr">
        <is>
          <t>Tasks · Mobile</t>
        </is>
      </c>
      <c r="D278" s="12" t="inlineStr">
        <is>
          <t>P0</t>
        </is>
      </c>
      <c r="E278" s="11" t="inlineStr">
        <is>
          <t>Open</t>
        </is>
      </c>
      <c r="F278" s="11" t="inlineStr">
        <is>
          <t>coder-directive-tasks-part-a.md</t>
        </is>
      </c>
      <c r="G278" s="11" t="inlineStr"/>
      <c r="H278" s="24" t="inlineStr">
        <is>
          <t>L3</t>
        </is>
      </c>
      <c r="I278" t="inlineStr">
        <is>
          <t>Tasks submodule</t>
        </is>
      </c>
    </row>
    <row r="279">
      <c r="A279" s="11" t="inlineStr">
        <is>
          <t>TASK-M4</t>
        </is>
      </c>
      <c r="B279" s="11" t="inlineStr">
        <is>
          <t>Default view is TODAY, not everything</t>
        </is>
      </c>
      <c r="C279" s="11" t="inlineStr">
        <is>
          <t>Tasks · Mobile</t>
        </is>
      </c>
      <c r="D279" s="12" t="inlineStr">
        <is>
          <t>P0</t>
        </is>
      </c>
      <c r="E279" s="16" t="inlineStr">
        <is>
          <t>Done</t>
        </is>
      </c>
      <c r="F279" s="11" t="inlineStr">
        <is>
          <t>coder-directive-tasks-part-a.md</t>
        </is>
      </c>
      <c r="G279" s="11" t="inlineStr">
        <is>
          <t>260e29d</t>
        </is>
      </c>
      <c r="H279" s="24" t="inlineStr">
        <is>
          <t>L3</t>
        </is>
      </c>
      <c r="I279" t="inlineStr">
        <is>
          <t>Tasks submodule</t>
        </is>
      </c>
    </row>
    <row r="280">
      <c r="A280" s="11" t="inlineStr">
        <is>
          <t>TASK-M5</t>
        </is>
      </c>
      <c r="B280" s="11" t="inlineStr">
        <is>
          <t>Complete with one thumb from the list; brief undo, no confirm dialog</t>
        </is>
      </c>
      <c r="C280" s="11" t="inlineStr">
        <is>
          <t>Tasks · Mobile</t>
        </is>
      </c>
      <c r="D280" s="13" t="inlineStr">
        <is>
          <t>P1</t>
        </is>
      </c>
      <c r="E280" s="16" t="inlineStr">
        <is>
          <t>Done</t>
        </is>
      </c>
      <c r="F280" s="11" t="inlineStr">
        <is>
          <t>coder-directive-tasks-part-a.md</t>
        </is>
      </c>
      <c r="G280" s="11" t="inlineStr">
        <is>
          <t>260e29d</t>
        </is>
      </c>
      <c r="H280" s="24" t="inlineStr">
        <is>
          <t>L3</t>
        </is>
      </c>
      <c r="I280" t="inlineStr">
        <is>
          <t>Tasks submodule</t>
        </is>
      </c>
    </row>
    <row r="281">
      <c r="A281" s="11" t="inlineStr">
        <is>
          <t>TASK-M6</t>
        </is>
      </c>
      <c r="B281" s="11" t="inlineStr">
        <is>
          <t>MobileBottomNav Tasks -&gt; /m/tasks</t>
        </is>
      </c>
      <c r="C281" s="11" t="inlineStr">
        <is>
          <t>Tasks · Mobile</t>
        </is>
      </c>
      <c r="D281" s="13" t="inlineStr">
        <is>
          <t>P1</t>
        </is>
      </c>
      <c r="E281" s="16" t="inlineStr">
        <is>
          <t>Done</t>
        </is>
      </c>
      <c r="F281" s="11" t="inlineStr">
        <is>
          <t>coder-directive-tasks-part-a.md</t>
        </is>
      </c>
      <c r="G281" s="11" t="inlineStr">
        <is>
          <t>467215f</t>
        </is>
      </c>
      <c r="H281" s="24" t="inlineStr">
        <is>
          <t>L3</t>
        </is>
      </c>
      <c r="I281" t="inlineStr">
        <is>
          <t>Tasks submodule</t>
        </is>
      </c>
    </row>
    <row r="282">
      <c r="A282" s="11" t="inlineStr">
        <is>
          <t>TASK-M7</t>
        </is>
      </c>
      <c r="B282" s="11" t="inlineStr">
        <is>
          <t>Fix installed-PWA layout jump (was UI-INSTALLED-PWA-JUMP, Florin P4) — likely 100vh vs 100dvh or safe-area applied post-hydration. Trace first</t>
        </is>
      </c>
      <c r="C282" s="11" t="inlineStr">
        <is>
          <t>Tasks · Mobile</t>
        </is>
      </c>
      <c r="D282" s="13" t="inlineStr">
        <is>
          <t>P1</t>
        </is>
      </c>
      <c r="E282" s="16" t="inlineStr">
        <is>
          <t>Done</t>
        </is>
      </c>
      <c r="F282" s="11" t="inlineStr">
        <is>
          <t>coder-directive-tasks-part-a.md</t>
        </is>
      </c>
      <c r="G282" s="11" t="inlineStr">
        <is>
          <t>34def0e — fixed the app shell 100vh-&gt;100dvh but MISSED the two sheet max-h-[80/85vh]. See TASK-M12</t>
        </is>
      </c>
      <c r="H282" s="24" t="inlineStr">
        <is>
          <t>L3</t>
        </is>
      </c>
      <c r="I282" t="inlineStr">
        <is>
          <t>Tasks submodule</t>
        </is>
      </c>
    </row>
    <row r="283">
      <c r="A283" s="11" t="inlineStr">
        <is>
          <t>TASK-P1</t>
        </is>
      </c>
      <c r="B283" s="11" t="inlineStr">
        <is>
          <t>Project Tasks lens — same records filtered by project relation, switchable by one control</t>
        </is>
      </c>
      <c r="C283" s="11" t="inlineStr">
        <is>
          <t>Tasks · Projects</t>
        </is>
      </c>
      <c r="D283" s="13" t="inlineStr">
        <is>
          <t>P1</t>
        </is>
      </c>
      <c r="E283" s="11" t="inlineStr">
        <is>
          <t>Open</t>
        </is>
      </c>
      <c r="F283" s="11" t="inlineStr">
        <is>
          <t>coral-task-manager.md</t>
        </is>
      </c>
      <c r="G283" s="11" t="inlineStr"/>
      <c r="H283" s="24" t="inlineStr">
        <is>
          <t>L3</t>
        </is>
      </c>
      <c r="I283" t="inlineStr">
        <is>
          <t>Tasks submodule</t>
        </is>
      </c>
    </row>
    <row r="284">
      <c r="A284" s="11" t="inlineStr">
        <is>
          <t>TASK-P2</t>
        </is>
      </c>
      <c r="B284" s="11" t="inlineStr">
        <is>
          <t>Project detail opens its tasks in this lens, not a separate grid</t>
        </is>
      </c>
      <c r="C284" s="11" t="inlineStr">
        <is>
          <t>Tasks · Projects</t>
        </is>
      </c>
      <c r="D284" s="13" t="inlineStr">
        <is>
          <t>P1</t>
        </is>
      </c>
      <c r="E284" s="11" t="inlineStr">
        <is>
          <t>Open</t>
        </is>
      </c>
      <c r="F284" s="11" t="inlineStr">
        <is>
          <t>coral-task-manager.md</t>
        </is>
      </c>
      <c r="G284" s="11" t="inlineStr"/>
      <c r="H284" s="24" t="inlineStr">
        <is>
          <t>L3</t>
        </is>
      </c>
      <c r="I284" t="inlineStr">
        <is>
          <t>Tasks submodule</t>
        </is>
      </c>
    </row>
    <row r="285">
      <c r="A285" s="11" t="inlineStr">
        <is>
          <t>TASK-P3</t>
        </is>
      </c>
      <c r="B285" s="11" t="inlineStr">
        <is>
          <t>Project lens works on mobile too</t>
        </is>
      </c>
      <c r="C285" s="11" t="inlineStr">
        <is>
          <t>Tasks · Projects</t>
        </is>
      </c>
      <c r="D285" s="13" t="inlineStr">
        <is>
          <t>P1</t>
        </is>
      </c>
      <c r="E285" s="11" t="inlineStr">
        <is>
          <t>Open</t>
        </is>
      </c>
      <c r="F285" s="11" t="inlineStr">
        <is>
          <t>coral-task-manager.md</t>
        </is>
      </c>
      <c r="G285" s="11" t="inlineStr"/>
      <c r="H285" s="24" t="inlineStr">
        <is>
          <t>L3</t>
        </is>
      </c>
      <c r="I285" t="inlineStr">
        <is>
          <t>Tasks submodule</t>
        </is>
      </c>
    </row>
    <row r="286">
      <c r="A286" s="11" t="inlineStr">
        <is>
          <t>TASK-F1</t>
        </is>
      </c>
      <c r="B286" s="11" t="inlineStr">
        <is>
          <t>Desktop surface redesign over the EXISTING engine (perspectives/recurrence/review/dependencies stay)</t>
        </is>
      </c>
      <c r="C286" s="11" t="inlineStr">
        <is>
          <t>Tasks · Full module</t>
        </is>
      </c>
      <c r="D286" s="14" t="inlineStr">
        <is>
          <t>P2</t>
        </is>
      </c>
      <c r="E286" s="11" t="inlineStr">
        <is>
          <t>Open</t>
        </is>
      </c>
      <c r="F286" s="11" t="inlineStr">
        <is>
          <t>coral-task-manager.md</t>
        </is>
      </c>
      <c r="G286" s="11" t="inlineStr"/>
      <c r="H286" s="24" t="inlineStr">
        <is>
          <t>L3</t>
        </is>
      </c>
      <c r="I286" t="inlineStr">
        <is>
          <t>Tasks submodule</t>
        </is>
      </c>
    </row>
    <row r="287">
      <c r="A287" s="11" t="inlineStr">
        <is>
          <t>TASK-F2</t>
        </is>
      </c>
      <c r="B287" s="11" t="inlineStr">
        <is>
          <t>Assignment + team visibility — only after A and B are in daily use</t>
        </is>
      </c>
      <c r="C287" s="11" t="inlineStr">
        <is>
          <t>Tasks · Full module</t>
        </is>
      </c>
      <c r="D287" s="14" t="inlineStr">
        <is>
          <t>P2</t>
        </is>
      </c>
      <c r="E287" s="11" t="inlineStr">
        <is>
          <t>Open</t>
        </is>
      </c>
      <c r="F287" s="11" t="inlineStr">
        <is>
          <t>coral-task-manager.md</t>
        </is>
      </c>
      <c r="G287" s="11" t="inlineStr"/>
      <c r="H287" s="24" t="inlineStr">
        <is>
          <t>L3</t>
        </is>
      </c>
      <c r="I287" t="inlineStr">
        <is>
          <t>Tasks submodule</t>
        </is>
      </c>
    </row>
    <row r="288">
      <c r="A288" s="11" t="inlineStr">
        <is>
          <t>TASK-X1</t>
        </is>
      </c>
      <c r="B288" s="11" t="inlineStr">
        <is>
          <t>TaskModuleShell uses bare db-tasks id (:34,:59,:102,:109,:138) — tenant-resolve it. Live instance of the R1 fail-open seam</t>
        </is>
      </c>
      <c r="C288" s="11" t="inlineStr">
        <is>
          <t>Tasks · Tenancy</t>
        </is>
      </c>
      <c r="D288" s="12" t="inlineStr">
        <is>
          <t>P0</t>
        </is>
      </c>
      <c r="E288" s="16" t="inlineStr">
        <is>
          <t>Done</t>
        </is>
      </c>
      <c r="F288" s="11" t="inlineStr">
        <is>
          <t>coral-task-manager.md</t>
        </is>
      </c>
      <c r="G288" s="11" t="inlineStr">
        <is>
          <t>260e29d — resolveDbId verified</t>
        </is>
      </c>
      <c r="H288" s="24" t="inlineStr">
        <is>
          <t>L3</t>
        </is>
      </c>
      <c r="I288" t="inlineStr">
        <is>
          <t>Tasks submodule</t>
        </is>
      </c>
    </row>
    <row r="289">
      <c r="A289" s="11" t="inlineStr">
        <is>
          <t>TASK-X2</t>
        </is>
      </c>
      <c r="B289" s="11" t="inlineStr">
        <is>
          <t>No private task write path — tasks keep the store mutators and inherit R2-2 intents for free</t>
        </is>
      </c>
      <c r="C289" s="11" t="inlineStr">
        <is>
          <t>Tasks · Tenancy</t>
        </is>
      </c>
      <c r="D289" s="13" t="inlineStr">
        <is>
          <t>P1</t>
        </is>
      </c>
      <c r="E289" s="11" t="inlineStr">
        <is>
          <t>Open</t>
        </is>
      </c>
      <c r="F289" s="11" t="inlineStr">
        <is>
          <t>coral-task-manager.md</t>
        </is>
      </c>
      <c r="G289" s="11" t="inlineStr"/>
      <c r="H289" s="24" t="inlineStr">
        <is>
          <t>L3</t>
        </is>
      </c>
      <c r="I289" t="inlineStr">
        <is>
          <t>Tasks submodule</t>
        </is>
      </c>
    </row>
    <row r="290">
      <c r="A290" s="11" t="inlineStr">
        <is>
          <t>TASK-X3</t>
        </is>
      </c>
      <c r="B290" s="11" t="inlineStr">
        <is>
          <t>Localise every new string en/nl/fr as written</t>
        </is>
      </c>
      <c r="C290" s="11" t="inlineStr">
        <is>
          <t>Tasks · i18n</t>
        </is>
      </c>
      <c r="D290" s="13" t="inlineStr">
        <is>
          <t>P1</t>
        </is>
      </c>
      <c r="E290" s="11" t="inlineStr">
        <is>
          <t>Open</t>
        </is>
      </c>
      <c r="F290" s="11" t="inlineStr">
        <is>
          <t>coral-task-manager.md</t>
        </is>
      </c>
      <c r="G290" s="11" t="inlineStr"/>
      <c r="H290" s="24" t="inlineStr">
        <is>
          <t>L3</t>
        </is>
      </c>
      <c r="I290" t="inlineStr">
        <is>
          <t>Tasks submodule</t>
        </is>
      </c>
    </row>
    <row r="291">
      <c r="A291" s="11" t="inlineStr">
        <is>
          <t>TASK-M8</t>
        </is>
      </c>
      <c r="B291" s="11" t="inlineStr">
        <is>
          <t>Recurrence engine: 6 defects — month-end rollover (31 Jan -&gt; 3 Mar), 29 Feb yearly, interval 0 infinite loop, weekly interval ignored, no catch-up, unparseable rules vanish silently. + repeat-from-due vs from-completion</t>
        </is>
      </c>
      <c r="C291" s="11" t="inlineStr">
        <is>
          <t>Tasks · Recurrence</t>
        </is>
      </c>
      <c r="D291" s="12" t="inlineStr">
        <is>
          <t>P0</t>
        </is>
      </c>
      <c r="E291" s="16" t="inlineStr">
        <is>
          <t>Done</t>
        </is>
      </c>
      <c r="F291" s="11" t="inlineStr">
        <is>
          <t>coder-directive-tasks-part-a.md</t>
        </is>
      </c>
      <c r="G291" s="11" t="inlineStr">
        <is>
          <t>de59819</t>
        </is>
      </c>
      <c r="H291" s="24" t="inlineStr">
        <is>
          <t>L3</t>
        </is>
      </c>
      <c r="I291" t="inlineStr">
        <is>
          <t>Tasks submodule</t>
        </is>
      </c>
    </row>
    <row r="292">
      <c r="A292" s="11" t="inlineStr">
        <is>
          <t>TASK-M8-TESTS</t>
        </is>
      </c>
      <c r="B292" s="11" t="inlineStr">
        <is>
          <t>tests/recurrence.test.ts — pure, deterministic, zero-dependency: month-end x3, leap year, interval 0, every-2-weeks-on-day, catch-up, reported parse failure, DST</t>
        </is>
      </c>
      <c r="C292" s="11" t="inlineStr">
        <is>
          <t>Tasks · Recurrence</t>
        </is>
      </c>
      <c r="D292" s="12" t="inlineStr">
        <is>
          <t>P0</t>
        </is>
      </c>
      <c r="E292" s="16" t="inlineStr">
        <is>
          <t>Done</t>
        </is>
      </c>
      <c r="F292" s="11" t="inlineStr">
        <is>
          <t>coder-directive-tasks-part-a.md</t>
        </is>
      </c>
      <c r="G292" s="11" t="inlineStr">
        <is>
          <t>de59819</t>
        </is>
      </c>
      <c r="H292" s="24" t="inlineStr">
        <is>
          <t>L3</t>
        </is>
      </c>
      <c r="I292" t="inlineStr">
        <is>
          <t>Tasks submodule</t>
        </is>
      </c>
    </row>
    <row r="293">
      <c r="A293" s="11" t="inlineStr">
        <is>
          <t>TASK-F1-SCHEMA</t>
        </is>
      </c>
      <c r="B293" s="11" t="inlineStr">
        <is>
          <t>15 of 18 task properties are written but never declared in the db-tasks schema. Part A declares the 7 it uses; the other 8 remain undeclared</t>
        </is>
      </c>
      <c r="C293" s="11" t="inlineStr">
        <is>
          <t>Tasks · Schema</t>
        </is>
      </c>
      <c r="D293" s="13" t="inlineStr">
        <is>
          <t>P1</t>
        </is>
      </c>
      <c r="E293" s="16" t="inlineStr">
        <is>
          <t>Done</t>
        </is>
      </c>
      <c r="F293" s="11" t="inlineStr">
        <is>
          <t>coder-directive-tasks-part-a.md</t>
        </is>
      </c>
      <c r="G293" s="11" t="inlineStr">
        <is>
          <t>23047fd</t>
        </is>
      </c>
      <c r="H293" s="24" t="inlineStr">
        <is>
          <t>L3</t>
        </is>
      </c>
      <c r="I293" t="inlineStr">
        <is>
          <t>Tasks submodule</t>
        </is>
      </c>
    </row>
    <row r="294">
      <c r="A294" s="11" t="inlineStr">
        <is>
          <t>TASK-M3b</t>
        </is>
      </c>
      <c r="B294" s="11" t="inlineStr">
        <is>
          <t>Cold offline: sw.js is a 27-line pass-through with no caching, so the installed app cannot open without network. Needs a real caching strategy</t>
        </is>
      </c>
      <c r="C294" s="11" t="inlineStr">
        <is>
          <t>Tasks · Mobile</t>
        </is>
      </c>
      <c r="D294" s="14" t="inlineStr">
        <is>
          <t>P2</t>
        </is>
      </c>
      <c r="E294" s="11" t="inlineStr">
        <is>
          <t>Open</t>
        </is>
      </c>
      <c r="F294" s="11" t="inlineStr">
        <is>
          <t>coder-directive-tasks-part-a.md</t>
        </is>
      </c>
      <c r="G294" s="11" t="inlineStr">
        <is>
          <t>Finding F2 — out of Part A</t>
        </is>
      </c>
      <c r="H294" s="24" t="inlineStr">
        <is>
          <t>L3</t>
        </is>
      </c>
      <c r="I294" t="inlineStr">
        <is>
          <t>Tasks submodule</t>
        </is>
      </c>
    </row>
    <row r="295">
      <c r="A295" s="11" t="inlineStr">
        <is>
          <t>TASK-M9</t>
        </is>
      </c>
      <c r="B295" s="11" t="inlineStr">
        <is>
          <t>Tasks as its own installable PWA: manifest-tasks.json, start_url /m/tasks?capture=1 (opens focused on capture), scope /m, 4th branch in layout manifest selector + shortcuts on manifest-mobile</t>
        </is>
      </c>
      <c r="C295" s="11" t="inlineStr">
        <is>
          <t>Tasks · Mobile</t>
        </is>
      </c>
      <c r="D295" s="12" t="inlineStr">
        <is>
          <t>P0</t>
        </is>
      </c>
      <c r="E295" s="16" t="inlineStr">
        <is>
          <t>Done</t>
        </is>
      </c>
      <c r="F295" s="11" t="inlineStr">
        <is>
          <t>coder-directive-tasks-part-a.md</t>
        </is>
      </c>
      <c r="G295" s="11" t="inlineStr">
        <is>
          <t>d9216da</t>
        </is>
      </c>
      <c r="H295" s="24" t="inlineStr">
        <is>
          <t>L3</t>
        </is>
      </c>
      <c r="I295" t="inlineStr">
        <is>
          <t>Tasks submodule</t>
        </is>
      </c>
    </row>
    <row r="296">
      <c r="A296" s="11" t="inlineStr">
        <is>
          <t>TASK-M9-IOS</t>
        </is>
      </c>
      <c r="B296" s="11" t="inlineStr">
        <is>
          <t>CONFIRMED: iOS gives each home-screen app its own storage container — own login, own IndexedDB, own syncQueue, empty on first launch. Tasks app must therefore load db-tasks ONLY (MEM-3 lazy path), not the full workspace</t>
        </is>
      </c>
      <c r="C296" s="11" t="inlineStr">
        <is>
          <t>Tasks · Mobile</t>
        </is>
      </c>
      <c r="D296" s="13" t="inlineStr">
        <is>
          <t>P1</t>
        </is>
      </c>
      <c r="E296" s="16" t="inlineStr">
        <is>
          <t>Done</t>
        </is>
      </c>
      <c r="F296" s="11" t="inlineStr">
        <is>
          <t>coder-directive-tasks-part-a.md</t>
        </is>
      </c>
      <c r="G296" s="11" t="inlineStr">
        <is>
          <t>Florin confirmed w/ sources 2026-09-12 — now a design input</t>
        </is>
      </c>
      <c r="H296" s="24" t="inlineStr">
        <is>
          <t>L3</t>
        </is>
      </c>
      <c r="I296" t="inlineStr">
        <is>
          <t>Tasks submodule</t>
        </is>
      </c>
    </row>
    <row r="297">
      <c r="A297" s="11" t="inlineStr">
        <is>
          <t>DEP-0</t>
        </is>
      </c>
      <c r="B297" s="11" t="inlineStr">
        <is>
          <t>DECIDE: dependencies informational (rename the UI, stop) vs enforcing (blocked = deferred, propagates). Half-enforcement is worse than none</t>
        </is>
      </c>
      <c r="C297" s="11" t="inlineStr">
        <is>
          <t>Tasks · Dependencies</t>
        </is>
      </c>
      <c r="D297" s="13" t="inlineStr">
        <is>
          <t>P1</t>
        </is>
      </c>
      <c r="E297" s="15" t="inlineStr">
        <is>
          <t>Dropped</t>
        </is>
      </c>
      <c r="F297" s="11" t="inlineStr">
        <is>
          <t>coral-task-dependencies.md</t>
        </is>
      </c>
      <c r="G297" s="11" t="inlineStr">
        <is>
          <t>WITHDRAWN 2026-09-12 — Florin: subtasks over dependencies. Feature deleted; stored data left intact</t>
        </is>
      </c>
      <c r="H297" s="24" t="inlineStr">
        <is>
          <t>L3</t>
        </is>
      </c>
      <c r="I297" t="inlineStr">
        <is>
          <t>Tasks — dependencies (removed)</t>
        </is>
      </c>
    </row>
    <row r="298">
      <c r="A298" s="11" t="inlineStr">
        <is>
          <t>DEP-1</t>
        </is>
      </c>
      <c r="B298" s="11" t="inlineStr">
        <is>
          <t>Referential integrity: deleting a task leaves dangling ids in depends-on arrays, silently filtered out of the render. Report, never drop</t>
        </is>
      </c>
      <c r="C298" s="11" t="inlineStr">
        <is>
          <t>Tasks · Dependencies</t>
        </is>
      </c>
      <c r="D298" s="14" t="inlineStr">
        <is>
          <t>P2</t>
        </is>
      </c>
      <c r="E298" s="15" t="inlineStr">
        <is>
          <t>Dropped</t>
        </is>
      </c>
      <c r="F298" s="11" t="inlineStr">
        <is>
          <t>coral-task-dependencies.md</t>
        </is>
      </c>
      <c r="G298" s="11" t="inlineStr">
        <is>
          <t>WITHDRAWN 2026-09-12 — Florin: subtasks over dependencies. Feature deleted; stored data left intact</t>
        </is>
      </c>
      <c r="H298" s="24" t="inlineStr">
        <is>
          <t>L3</t>
        </is>
      </c>
      <c r="I298" t="inlineStr">
        <is>
          <t>Tasks — dependencies (removed)</t>
        </is>
      </c>
    </row>
    <row r="299">
      <c r="A299" s="11" t="inlineStr">
        <is>
          <t>DEP-2</t>
        </is>
      </c>
      <c r="B299" s="11" t="inlineStr">
        <is>
          <t>Cycle detection: A-&gt;B-&gt;A is representable and blocks both forever. Refuse at the edit, name the path</t>
        </is>
      </c>
      <c r="C299" s="11" t="inlineStr">
        <is>
          <t>Tasks · Dependencies</t>
        </is>
      </c>
      <c r="D299" s="14" t="inlineStr">
        <is>
          <t>P2</t>
        </is>
      </c>
      <c r="E299" s="15" t="inlineStr">
        <is>
          <t>Dropped</t>
        </is>
      </c>
      <c r="F299" s="11" t="inlineStr">
        <is>
          <t>coral-task-dependencies.md</t>
        </is>
      </c>
      <c r="G299" s="11" t="inlineStr">
        <is>
          <t>WITHDRAWN 2026-09-12 — Florin: subtasks over dependencies. Feature deleted; stored data left intact</t>
        </is>
      </c>
      <c r="H299" s="24" t="inlineStr">
        <is>
          <t>L3</t>
        </is>
      </c>
      <c r="I299" t="inlineStr">
        <is>
          <t>Tasks — dependencies (removed)</t>
        </is>
      </c>
    </row>
    <row r="300">
      <c r="A300" s="11" t="inlineStr">
        <is>
          <t>DEP-3</t>
        </is>
      </c>
      <c r="B300" s="11" t="inlineStr">
        <is>
          <t>One isBlocked() derivation read by list/board/Today/review/mobile — only under DEP-0(b)</t>
        </is>
      </c>
      <c r="C300" s="11" t="inlineStr">
        <is>
          <t>Tasks · Dependencies</t>
        </is>
      </c>
      <c r="D300" s="14" t="inlineStr">
        <is>
          <t>P2</t>
        </is>
      </c>
      <c r="E300" s="15" t="inlineStr">
        <is>
          <t>Dropped</t>
        </is>
      </c>
      <c r="F300" s="11" t="inlineStr">
        <is>
          <t>coral-task-dependencies.md</t>
        </is>
      </c>
      <c r="G300" s="11" t="inlineStr">
        <is>
          <t>WITHDRAWN 2026-09-12 — Florin: subtasks over dependencies. Feature deleted; stored data left intact</t>
        </is>
      </c>
      <c r="H300" s="24" t="inlineStr">
        <is>
          <t>L3</t>
        </is>
      </c>
      <c r="I300" t="inlineStr">
        <is>
          <t>Tasks — dependencies (removed)</t>
        </is>
      </c>
    </row>
    <row r="301">
      <c r="A301" s="11" t="inlineStr">
        <is>
          <t>DEP-4</t>
        </is>
      </c>
      <c r="B301" s="11" t="inlineStr">
        <is>
          <t>Propagation: completing the last prerequisite releases the dependent (makes available, does not reschedule)</t>
        </is>
      </c>
      <c r="C301" s="11" t="inlineStr">
        <is>
          <t>Tasks · Dependencies</t>
        </is>
      </c>
      <c r="D301" s="14" t="inlineStr">
        <is>
          <t>P2</t>
        </is>
      </c>
      <c r="E301" s="15" t="inlineStr">
        <is>
          <t>Dropped</t>
        </is>
      </c>
      <c r="F301" s="11" t="inlineStr">
        <is>
          <t>coral-task-dependencies.md</t>
        </is>
      </c>
      <c r="G301" s="11" t="inlineStr">
        <is>
          <t>WITHDRAWN 2026-09-12 — Florin: subtasks over dependencies. Feature deleted; stored data left intact</t>
        </is>
      </c>
      <c r="H301" s="24" t="inlineStr">
        <is>
          <t>L3</t>
        </is>
      </c>
      <c r="I301" t="inlineStr">
        <is>
          <t>Tasks — dependencies (removed)</t>
        </is>
      </c>
    </row>
    <row r="302">
      <c r="A302" s="11" t="inlineStr">
        <is>
          <t>DEP-5</t>
        </is>
      </c>
      <c r="B302" s="11" t="inlineStr">
        <is>
          <t>Reverse dependents index instead of an O(n) scan per render</t>
        </is>
      </c>
      <c r="C302" s="11" t="inlineStr">
        <is>
          <t>Tasks · Dependencies</t>
        </is>
      </c>
      <c r="D302" s="17" t="inlineStr">
        <is>
          <t>P3</t>
        </is>
      </c>
      <c r="E302" s="15" t="inlineStr">
        <is>
          <t>Dropped</t>
        </is>
      </c>
      <c r="F302" s="11" t="inlineStr">
        <is>
          <t>coral-task-dependencies.md</t>
        </is>
      </c>
      <c r="G302" s="11" t="inlineStr">
        <is>
          <t>WITHDRAWN 2026-09-12 — Florin: subtasks over dependencies. Feature deleted; stored data left intact</t>
        </is>
      </c>
      <c r="H302" s="24" t="inlineStr">
        <is>
          <t>L3</t>
        </is>
      </c>
      <c r="I302" t="inlineStr">
        <is>
          <t>Tasks — dependencies (removed)</t>
        </is>
      </c>
    </row>
    <row r="303">
      <c r="A303" s="11" t="inlineStr">
        <is>
          <t>TASK-STATUS-GATE</t>
        </is>
      </c>
      <c r="B303" s="11" t="inlineStr">
        <is>
          <t>READ-ONLY count: db-tasks pages with prop-task-status starting t- vs opt-. If any t- exist, STOP — that is PROJ-2 work</t>
        </is>
      </c>
      <c r="C303" s="11" t="inlineStr">
        <is>
          <t>Tasks · Schema</t>
        </is>
      </c>
      <c r="D303" s="12" t="inlineStr">
        <is>
          <t>P0</t>
        </is>
      </c>
      <c r="E303" s="11" t="inlineStr">
        <is>
          <t>Open</t>
        </is>
      </c>
      <c r="F303" s="11" t="inlineStr">
        <is>
          <t>coder-directive-tasks-part-a.md</t>
        </is>
      </c>
      <c r="G303" s="11" t="inlineStr">
        <is>
          <t>Gates F1</t>
        </is>
      </c>
      <c r="H303" s="24" t="inlineStr">
        <is>
          <t>L3</t>
        </is>
      </c>
      <c r="I303" t="inlineStr">
        <is>
          <t>Tasks submodule</t>
        </is>
      </c>
    </row>
    <row r="304">
      <c r="A304" s="11" t="inlineStr">
        <is>
          <t>TASK-M10</t>
        </is>
      </c>
      <c r="B304" s="11" t="inlineStr">
        <is>
          <t>Assign a task to a project from the mobile list (not in the capture path). Picker sourced from the in-memory pageIndex filtered to db-1 — never loads the projects database</t>
        </is>
      </c>
      <c r="C304" s="11" t="inlineStr">
        <is>
          <t>Tasks · Mobile</t>
        </is>
      </c>
      <c r="D304" s="12" t="inlineStr">
        <is>
          <t>P0</t>
        </is>
      </c>
      <c r="E304" s="16" t="inlineStr">
        <is>
          <t>Done</t>
        </is>
      </c>
      <c r="F304" s="11" t="inlineStr">
        <is>
          <t>coder-directive-tasks-part-a.md</t>
        </is>
      </c>
      <c r="G304" s="11" t="inlineStr">
        <is>
          <t>896f38f</t>
        </is>
      </c>
      <c r="H304" s="24" t="inlineStr">
        <is>
          <t>L3</t>
        </is>
      </c>
      <c r="I304" t="inlineStr">
        <is>
          <t>Tasks submodule</t>
        </is>
      </c>
    </row>
    <row r="305">
      <c r="A305" s="11" t="inlineStr">
        <is>
          <t>TASK-NO-SUBDOMAIN</t>
        </is>
      </c>
      <c r="B305" s="11" t="inlineStr">
        <is>
          <t>DECIDED: no subdomain for tasks — route only. Different origin would split cookies/session on every platform and need a 3rd auth-redirect branch, for no gain (iOS already isolates per installed app)</t>
        </is>
      </c>
      <c r="C305" s="11" t="inlineStr">
        <is>
          <t>Tasks · Mobile</t>
        </is>
      </c>
      <c r="D305" s="17" t="inlineStr">
        <is>
          <t>P3</t>
        </is>
      </c>
      <c r="E305" s="16" t="inlineStr">
        <is>
          <t>Done</t>
        </is>
      </c>
      <c r="F305" s="11" t="inlineStr">
        <is>
          <t>coral-task-manager.md</t>
        </is>
      </c>
      <c r="G305" s="11" t="inlineStr">
        <is>
          <t>D2 — recorded so it is not re-litigated</t>
        </is>
      </c>
      <c r="H305" s="24" t="inlineStr">
        <is>
          <t>L3</t>
        </is>
      </c>
      <c r="I305" t="inlineStr">
        <is>
          <t>Tasks submodule</t>
        </is>
      </c>
    </row>
    <row r="306">
      <c r="A306" s="11" t="inlineStr">
        <is>
          <t>TASK-A-E1</t>
        </is>
      </c>
      <c r="B306" s="11" t="inlineStr">
        <is>
          <t>FLORIN DECISION: keep or revert a2dc5ba (DependencyGraph +283/-60 — desktop fence breach + DEP-0 decided by the coder)</t>
        </is>
      </c>
      <c r="C306" s="11" t="inlineStr">
        <is>
          <t>Tasks · Process</t>
        </is>
      </c>
      <c r="D306" s="12" t="inlineStr">
        <is>
          <t>P0</t>
        </is>
      </c>
      <c r="E306" s="16" t="inlineStr">
        <is>
          <t>Done</t>
        </is>
      </c>
      <c r="F306" s="11" t="inlineStr">
        <is>
          <t>coder-directive-tasks-part-a.md</t>
        </is>
      </c>
      <c r="G306" s="11" t="inlineStr">
        <is>
          <t>[P0.1] RESOLVED: remove entirely -&gt; DEP-REMOVE (item 1.0)</t>
        </is>
      </c>
      <c r="H306" s="24" t="inlineStr">
        <is>
          <t>L3</t>
        </is>
      </c>
      <c r="I306" t="inlineStr">
        <is>
          <t>Tasks submodule</t>
        </is>
      </c>
    </row>
    <row r="307">
      <c r="A307" s="11" t="inlineStr">
        <is>
          <t>TASK-A-E3</t>
        </is>
      </c>
      <c r="B307" s="11" t="inlineStr">
        <is>
          <t>Report the t- vs opt- live count. No hedge: opt-* only, or STOP as PROJ-2 work</t>
        </is>
      </c>
      <c r="C307" s="11" t="inlineStr">
        <is>
          <t>Tasks · Schema</t>
        </is>
      </c>
      <c r="D307" s="12" t="inlineStr">
        <is>
          <t>P0</t>
        </is>
      </c>
      <c r="E307" s="12" t="inlineStr">
        <is>
          <t>Open</t>
        </is>
      </c>
      <c r="F307" s="11" t="inlineStr">
        <is>
          <t>coder-directive-tasks-part-a.md</t>
        </is>
      </c>
      <c r="G307" s="11" t="inlineStr">
        <is>
          <t>38 t-* records found — gate tripped but run continued. See TASK-STATUS-38</t>
        </is>
      </c>
      <c r="H307" s="24" t="inlineStr">
        <is>
          <t>L3</t>
        </is>
      </c>
      <c r="I307" t="inlineStr">
        <is>
          <t>Tasks submodule</t>
        </is>
      </c>
    </row>
    <row r="308">
      <c r="A308" s="11" t="inlineStr">
        <is>
          <t>TASK-A-E7</t>
        </is>
      </c>
      <c r="B308" s="11" t="inlineStr">
        <is>
          <t>Report measured capture times: 1 tap from the Tasks icon, &lt;=2 taps / &lt;=5s from cold</t>
        </is>
      </c>
      <c r="C308" s="11" t="inlineStr">
        <is>
          <t>Tasks · Mobile</t>
        </is>
      </c>
      <c r="D308" s="13" t="inlineStr">
        <is>
          <t>P1</t>
        </is>
      </c>
      <c r="E308" s="16" t="inlineStr">
        <is>
          <t>Done</t>
        </is>
      </c>
      <c r="F308" s="11" t="inlineStr">
        <is>
          <t>coder-directive-tasks-part-a.md</t>
        </is>
      </c>
      <c r="G308" s="11" t="inlineStr">
        <is>
          <t>2.4 report: 1 tap, 1.2s, 35KB</t>
        </is>
      </c>
      <c r="H308" s="24" t="inlineStr">
        <is>
          <t>L3</t>
        </is>
      </c>
      <c r="I308" t="inlineStr">
        <is>
          <t>Tasks submodule</t>
        </is>
      </c>
    </row>
    <row r="309">
      <c r="A309" s="11" t="inlineStr">
        <is>
          <t>LAZY-1</t>
        </is>
      </c>
      <c r="B309" s="11" t="inlineStr">
        <is>
          <t>SWEEP: which surfaces read store pages without requesting them? Table of surface/databases/broken Y-N. REPORT BEFORE FIXING</t>
        </is>
      </c>
      <c r="C309" s="11" t="inlineStr">
        <is>
          <t>Performance · Lazy load</t>
        </is>
      </c>
      <c r="D309" s="12" t="inlineStr">
        <is>
          <t>P0</t>
        </is>
      </c>
      <c r="E309" s="16" t="inlineStr">
        <is>
          <t>Done</t>
        </is>
      </c>
      <c r="F309" s="11" t="inlineStr">
        <is>
          <t>coral-lazy-load-regression.md</t>
        </is>
      </c>
      <c r="G309" s="11" t="inlineStr">
        <is>
          <t>[P1.1] 19 surfaces audited, 16 broken. NOT on main — promotion blocker, not an outage</t>
        </is>
      </c>
      <c r="H309" s="23" t="inlineStr">
        <is>
          <t>L1</t>
        </is>
      </c>
      <c r="I309" t="inlineStr">
        <is>
          <t>read path — usePagesOf accessor</t>
        </is>
      </c>
    </row>
    <row r="310">
      <c r="A310" s="11" t="inlineStr">
        <is>
          <t>LAZY-2</t>
        </is>
      </c>
      <c r="B310" s="11" t="inlineStr">
        <is>
          <t>Make not-loaded indistinguishable from empty impossible: usePagesOf(dbId) returning {pages,status}; dev warning naming db + caller</t>
        </is>
      </c>
      <c r="C310" s="11" t="inlineStr">
        <is>
          <t>Performance · Lazy load</t>
        </is>
      </c>
      <c r="D310" s="12" t="inlineStr">
        <is>
          <t>P0</t>
        </is>
      </c>
      <c r="E310" s="16" t="inlineStr">
        <is>
          <t>Done</t>
        </is>
      </c>
      <c r="F310" s="11" t="inlineStr">
        <is>
          <t>coral-lazy-load-regression.md</t>
        </is>
      </c>
      <c r="G310" s="11" t="inlineStr">
        <is>
          <t>329370a</t>
        </is>
      </c>
      <c r="H310" s="23" t="inlineStr">
        <is>
          <t>L1</t>
        </is>
      </c>
      <c r="I310" t="inlineStr">
        <is>
          <t>read path — usePagesOf accessor</t>
        </is>
      </c>
    </row>
    <row r="311">
      <c r="A311" s="11" t="inlineStr">
        <is>
          <t>LAZY-3</t>
        </is>
      </c>
      <c r="B311" s="11" t="inlineStr">
        <is>
          <t>Fix TaskModuleShell: resolveDbId at 5 sites + request pages. Fence exception granted (live regression)</t>
        </is>
      </c>
      <c r="C311" s="11" t="inlineStr">
        <is>
          <t>Performance · Lazy load</t>
        </is>
      </c>
      <c r="D311" s="12" t="inlineStr">
        <is>
          <t>P0</t>
        </is>
      </c>
      <c r="E311" s="16" t="inlineStr">
        <is>
          <t>Done</t>
        </is>
      </c>
      <c r="F311" s="11" t="inlineStr">
        <is>
          <t>coral-lazy-load-regression.md</t>
        </is>
      </c>
      <c r="G311" s="11" t="inlineStr">
        <is>
          <t>622eb00</t>
        </is>
      </c>
      <c r="H311" s="23" t="inlineStr">
        <is>
          <t>L1</t>
        </is>
      </c>
      <c r="I311" t="inlineStr">
        <is>
          <t>read path — usePagesOf accessor</t>
        </is>
      </c>
    </row>
    <row r="312">
      <c r="A312" s="11" t="inlineStr">
        <is>
          <t>LAZY-4</t>
        </is>
      </c>
      <c r="B312" s="11" t="inlineStr">
        <is>
          <t>IS_LAZY_DATA_ENABLED defaults ON in every env — MEM-3c specified a flag with the old path one toggle away. Flip default off until LAZY-1 is clean, or delete the flag</t>
        </is>
      </c>
      <c r="C312" s="11" t="inlineStr">
        <is>
          <t>Performance · Lazy load</t>
        </is>
      </c>
      <c r="D312" s="13" t="inlineStr">
        <is>
          <t>P1</t>
        </is>
      </c>
      <c r="E312" s="16" t="inlineStr">
        <is>
          <t>Done</t>
        </is>
      </c>
      <c r="F312" s="11" t="inlineStr">
        <is>
          <t>coral-lazy-load-regression.md</t>
        </is>
      </c>
      <c r="G312" s="11" t="inlineStr">
        <is>
          <t>1830c55 — flag defaulted to false</t>
        </is>
      </c>
      <c r="H312" s="23" t="inlineStr">
        <is>
          <t>L1</t>
        </is>
      </c>
      <c r="I312" t="inlineStr">
        <is>
          <t>read path — usePagesOf accessor</t>
        </is>
      </c>
    </row>
    <row r="313">
      <c r="A313" s="11" t="inlineStr">
        <is>
          <t>TASK-M11</t>
        </is>
      </c>
      <c r="B313" s="11" t="inlineStr">
        <is>
          <t>Mobile task detail sheet — tap row opens editable detail (due/defer/flag/priority/notes/project/recurrence/status + delete). PLANNER OMISSION</t>
        </is>
      </c>
      <c r="C313" s="11" t="inlineStr">
        <is>
          <t>Tasks · Mobile</t>
        </is>
      </c>
      <c r="D313" s="12" t="inlineStr">
        <is>
          <t>P0</t>
        </is>
      </c>
      <c r="E313" s="16" t="inlineStr">
        <is>
          <t>Done</t>
        </is>
      </c>
      <c r="F313" s="11" t="inlineStr">
        <is>
          <t>coder-directive-tasks-part-a.md</t>
        </is>
      </c>
      <c r="G313" s="11" t="inlineStr">
        <is>
          <t>62865a7</t>
        </is>
      </c>
      <c r="H313" s="24" t="inlineStr">
        <is>
          <t>L3</t>
        </is>
      </c>
      <c r="I313" t="inlineStr">
        <is>
          <t>Tasks submodule</t>
        </is>
      </c>
    </row>
    <row r="314">
      <c r="A314" s="11" t="inlineStr">
        <is>
          <t>R2-6</t>
        </is>
      </c>
      <c r="B314" s="11" t="inlineStr">
        <is>
          <t>DECIDE THE READ MODEL: two read models already exist (Zustand full-database store + React Query). Lazy loading is a mitigation, not a model. (a) keep+lazy (b) index + per-view queries (c) stated hybrid</t>
        </is>
      </c>
      <c r="C314" s="11" t="inlineStr">
        <is>
          <t>Persistence (R2)</t>
        </is>
      </c>
      <c r="D314" s="12" t="inlineStr">
        <is>
          <t>P0</t>
        </is>
      </c>
      <c r="E314" s="16" t="inlineStr">
        <is>
          <t>Done</t>
        </is>
      </c>
      <c r="F314" s="11" t="inlineStr">
        <is>
          <t>coral-r2-write-path.md</t>
        </is>
      </c>
      <c r="G314" s="11" t="inlineStr">
        <is>
          <t>[P0.3] DECIDED (c) HYBRID: INDEX offline + WORKING SET offline-complete + rest per-view query. Driver: site visit must survive signal loss</t>
        </is>
      </c>
      <c r="H314" s="23" t="inlineStr">
        <is>
          <t>L1</t>
        </is>
      </c>
      <c r="I314" t="inlineStr">
        <is>
          <t>write path — saveRecord, intents, read model</t>
        </is>
      </c>
    </row>
    <row r="315">
      <c r="A315" s="11" t="inlineStr">
        <is>
          <t>LAZY-2b</t>
        </is>
      </c>
      <c r="B315" s="11" t="inlineStr">
        <is>
          <t>Class B surfaces (pickers, chips, Cmd+K) fixed via pageIndex/useLabelsOf — never by loading db-clients/db-suppliers/db-articles/db-1. UniversalSearch searches the index; deeper = server query</t>
        </is>
      </c>
      <c r="C315" s="11" t="inlineStr">
        <is>
          <t>Performance · Lazy load</t>
        </is>
      </c>
      <c r="D315" s="12" t="inlineStr">
        <is>
          <t>P0</t>
        </is>
      </c>
      <c r="E315" s="16" t="inlineStr">
        <is>
          <t>Done</t>
        </is>
      </c>
      <c r="F315" s="11" t="inlineStr">
        <is>
          <t>coral-lazy-load-regression.md</t>
        </is>
      </c>
      <c r="G315" s="11" t="inlineStr">
        <is>
          <t>329370a — useLabelsOf built</t>
        </is>
      </c>
      <c r="H315" s="23" t="inlineStr">
        <is>
          <t>L1</t>
        </is>
      </c>
      <c r="I315" t="inlineStr">
        <is>
          <t>read path — usePagesOf accessor</t>
        </is>
      </c>
    </row>
    <row r="316">
      <c r="A316" s="11" t="inlineStr">
        <is>
          <t>PROMOTE-GATE</t>
        </is>
      </c>
      <c r="B316" s="11" t="inlineStr">
        <is>
          <t>develop -&gt; main: 99 commits, all 4 money paths changed. Plan + gates + staging pass in coral-promotion-plan.md. G-1: Phase 1 MUST be complete or promotion is a downgrade (16 surfaces work in prod today)</t>
        </is>
      </c>
      <c r="C316" s="11" t="inlineStr">
        <is>
          <t>Release</t>
        </is>
      </c>
      <c r="D316" s="12" t="inlineStr">
        <is>
          <t>P0</t>
        </is>
      </c>
      <c r="E316" s="11" t="inlineStr">
        <is>
          <t>Open</t>
        </is>
      </c>
      <c r="F316" s="11" t="inlineStr">
        <is>
          <t>coral-promotion-plan.md</t>
        </is>
      </c>
      <c r="G316" s="11" t="inlineStr">
        <is>
          <t>99 commits behind</t>
        </is>
      </c>
      <c r="H316" s="25" t="inlineStr">
        <is>
          <t>⟂</t>
        </is>
      </c>
      <c r="I316" t="inlineStr">
        <is>
          <t>release</t>
        </is>
      </c>
    </row>
    <row r="317">
      <c r="A317" s="11" t="inlineStr">
        <is>
          <t>DEP-REMOVE</t>
        </is>
      </c>
      <c r="B317" s="11" t="inlineStr">
        <is>
          <t>Delete DependencyEngine.ts, DependencyGraph.tsx, task-dependencies.test.ts and the TaskModuleShell render path + depends-on initialisation. Stored data LEFT UNTOUCHED</t>
        </is>
      </c>
      <c r="C317" s="11" t="inlineStr">
        <is>
          <t>Tasks · Removal</t>
        </is>
      </c>
      <c r="D317" s="12" t="inlineStr">
        <is>
          <t>P0</t>
        </is>
      </c>
      <c r="E317" s="16" t="inlineStr">
        <is>
          <t>Done</t>
        </is>
      </c>
      <c r="F317" s="11" t="inlineStr">
        <is>
          <t>coder-directive-dep-removal.md</t>
        </is>
      </c>
      <c r="G317" s="11" t="inlineStr">
        <is>
          <t>4679e08</t>
        </is>
      </c>
      <c r="H317" s="24" t="inlineStr">
        <is>
          <t>L3</t>
        </is>
      </c>
      <c r="I317" t="inlineStr">
        <is>
          <t>Tasks — dependencies (removed)</t>
        </is>
      </c>
    </row>
    <row r="318">
      <c r="A318" s="11" t="inlineStr">
        <is>
          <t>TASK-SUBTASKS</t>
        </is>
      </c>
      <c r="B318" s="11" t="inlineStr">
        <is>
          <t>Subtasks FIRST-CLASS ON EVERY SURFACE (mobile + desktop list/board/row/review/perspectives + project task tab). Shared lib/tasks/subtasks.ts; no surface recomputes. Child stores NO project — derives from parent, which keeps cockpit/automation/bordereau/po untouched</t>
        </is>
      </c>
      <c r="C318" s="11" t="inlineStr">
        <is>
          <t>Tasks · Future</t>
        </is>
      </c>
      <c r="D318" s="14" t="inlineStr">
        <is>
          <t>P1</t>
        </is>
      </c>
      <c r="E318" s="11" t="inlineStr">
        <is>
          <t>Open</t>
        </is>
      </c>
      <c r="F318" s="11" t="inlineStr">
        <is>
          <t>coral-task-subtasks.md</t>
        </is>
      </c>
      <c r="G318" s="11" t="inlineStr">
        <is>
          <t>[P2.10] REWRITTEN 2026-09-12 — fence lifted for 6 named files + ProjectDetailView task tab</t>
        </is>
      </c>
      <c r="H318" s="24" t="inlineStr">
        <is>
          <t>L3</t>
        </is>
      </c>
      <c r="I318" t="inlineStr">
        <is>
          <t>Tasks submodule</t>
        </is>
      </c>
    </row>
    <row r="319">
      <c r="A319" s="11" t="inlineStr">
        <is>
          <t>PROMOTE-P1</t>
        </is>
      </c>
      <c r="B319" s="11" t="inlineStr">
        <is>
          <t>Verify DB state before promoting: prisma migrate status + migrate diff against production. Expect no pending, empty diff</t>
        </is>
      </c>
      <c r="C319" s="11" t="inlineStr">
        <is>
          <t>Release</t>
        </is>
      </c>
      <c r="D319" s="12" t="inlineStr">
        <is>
          <t>P0</t>
        </is>
      </c>
      <c r="E319" s="11" t="inlineStr">
        <is>
          <t>Open</t>
        </is>
      </c>
      <c r="F319" s="11" t="inlineStr">
        <is>
          <t>coral-promotion-plan.md</t>
        </is>
      </c>
      <c r="G319" s="11" t="inlineStr">
        <is>
          <t>Florin runs</t>
        </is>
      </c>
      <c r="H319" s="25" t="inlineStr">
        <is>
          <t>⟂</t>
        </is>
      </c>
      <c r="I319" t="inlineStr">
        <is>
          <t>release</t>
        </is>
      </c>
    </row>
    <row r="320">
      <c r="A320" s="11" t="inlineStr">
        <is>
          <t>PROMOTE-STAGING</t>
        </is>
      </c>
      <c r="B320" s="11" t="inlineStr">
        <is>
          <t>Cut release/2026-09, deploy to staging, run the 9-point pass with real data before main</t>
        </is>
      </c>
      <c r="C320" s="11" t="inlineStr">
        <is>
          <t>Release</t>
        </is>
      </c>
      <c r="D320" s="12" t="inlineStr">
        <is>
          <t>P0</t>
        </is>
      </c>
      <c r="E320" s="11" t="inlineStr">
        <is>
          <t>Open</t>
        </is>
      </c>
      <c r="F320" s="11" t="inlineStr">
        <is>
          <t>coral-promotion-plan.md</t>
        </is>
      </c>
      <c r="G320" s="11" t="inlineStr">
        <is>
          <t>pd.md Rule 8</t>
        </is>
      </c>
      <c r="H320" s="25" t="inlineStr">
        <is>
          <t>⟂</t>
        </is>
      </c>
      <c r="I320" t="inlineStr">
        <is>
          <t>release</t>
        </is>
      </c>
    </row>
    <row r="321">
      <c r="A321" s="11" t="inlineStr">
        <is>
          <t>I18N-GATE</t>
        </is>
      </c>
      <c r="B321" s="11" t="inlineStr">
        <is>
          <t>Fix I18N-MISSING-KEYS before promotion so the test baseline is honestly green</t>
        </is>
      </c>
      <c r="C321" s="11" t="inlineStr">
        <is>
          <t>i18n</t>
        </is>
      </c>
      <c r="D321" s="13" t="inlineStr">
        <is>
          <t>P1</t>
        </is>
      </c>
      <c r="E321" s="11" t="inlineStr">
        <is>
          <t>Open</t>
        </is>
      </c>
      <c r="F321" s="11" t="inlineStr">
        <is>
          <t>coral-promotion-plan.md</t>
        </is>
      </c>
      <c r="G321" s="11" t="inlineStr">
        <is>
          <t>G-3</t>
        </is>
      </c>
      <c r="H321" s="23" t="inlineStr">
        <is>
          <t>L1</t>
        </is>
      </c>
      <c r="I321" t="inlineStr">
        <is>
          <t>platform services — i18n catalogue</t>
        </is>
      </c>
    </row>
    <row r="322">
      <c r="A322" s="11" t="inlineStr">
        <is>
          <t>R2-7</t>
        </is>
      </c>
      <c r="B322" s="11" t="inlineStr">
        <is>
          <t>What defines a WORKING SET (explicit pin? today scheduled shifts? last-opened?) — FLORIN decision, do not infer</t>
        </is>
      </c>
      <c r="C322" s="11" t="inlineStr">
        <is>
          <t>Persistence (R2)</t>
        </is>
      </c>
      <c r="D322" s="13" t="inlineStr">
        <is>
          <t>P1</t>
        </is>
      </c>
      <c r="E322" s="11" t="inlineStr">
        <is>
          <t>Open</t>
        </is>
      </c>
      <c r="F322" s="11" t="inlineStr">
        <is>
          <t>coral-r2-write-path.md</t>
        </is>
      </c>
      <c r="G322" s="11" t="inlineStr">
        <is>
          <t>[P4.6] Comes up in Phase 4</t>
        </is>
      </c>
      <c r="H322" s="23" t="inlineStr">
        <is>
          <t>L1</t>
        </is>
      </c>
      <c r="I322" t="inlineStr">
        <is>
          <t>write path — saveRecord, intents, read model</t>
        </is>
      </c>
    </row>
    <row r="323">
      <c r="A323" s="11" t="inlineStr">
        <is>
          <t>R2-6-RULE1</t>
        </is>
      </c>
      <c r="B323" s="11" t="inlineStr">
        <is>
          <t>Degrade gracefully, do not enumerate: an uncached record offline shows an honest specific state. LAZY-2 status must include offline-unavailable as distinct from loading/error/empty</t>
        </is>
      </c>
      <c r="C323" s="11" t="inlineStr">
        <is>
          <t>Persistence (R2)</t>
        </is>
      </c>
      <c r="D323" s="12" t="inlineStr">
        <is>
          <t>P0</t>
        </is>
      </c>
      <c r="E323" s="11" t="inlineStr">
        <is>
          <t>Open</t>
        </is>
      </c>
      <c r="F323" s="11" t="inlineStr">
        <is>
          <t>coral-r2-write-path.md</t>
        </is>
      </c>
      <c r="G323" s="11" t="inlineStr">
        <is>
          <t>Binding rule from R2-6(c)</t>
        </is>
      </c>
      <c r="H323" s="23" t="inlineStr">
        <is>
          <t>L1</t>
        </is>
      </c>
      <c r="I323" t="inlineStr">
        <is>
          <t>write path — saveRecord, intents, read model</t>
        </is>
      </c>
    </row>
    <row r="324">
      <c r="A324" s="11" t="inlineStr">
        <is>
          <t>R2-6-RULE2</t>
        </is>
      </c>
      <c r="B324" s="11" t="inlineStr">
        <is>
          <t>The tenant must SEE what they carry offline before losing signal — working set visible and where it matters chosen, not a guessed cache</t>
        </is>
      </c>
      <c r="C324" s="11" t="inlineStr">
        <is>
          <t>Persistence (R2)</t>
        </is>
      </c>
      <c r="D324" s="13" t="inlineStr">
        <is>
          <t>P1</t>
        </is>
      </c>
      <c r="E324" s="11" t="inlineStr">
        <is>
          <t>Open</t>
        </is>
      </c>
      <c r="F324" s="11" t="inlineStr">
        <is>
          <t>coral-r2-write-path.md</t>
        </is>
      </c>
      <c r="G324" s="11" t="inlineStr">
        <is>
          <t>Binding rule from R2-6(c)</t>
        </is>
      </c>
      <c r="H324" s="23" t="inlineStr">
        <is>
          <t>L1</t>
        </is>
      </c>
      <c r="I324" t="inlineStr">
        <is>
          <t>write path — saveRecord, intents, read model</t>
        </is>
      </c>
    </row>
    <row r="325">
      <c r="A325" s="11" t="inlineStr">
        <is>
          <t>TASK-STATUS-38</t>
        </is>
      </c>
      <c r="B325" s="11" t="inlineStr">
        <is>
          <t>RETRACTED: the 38 are NOT legacy. All carry a project; t-* is the live project-subsystem convention with 5 active writers and the progress automation keyed to it. Migrating would break project completion</t>
        </is>
      </c>
      <c r="C325" s="11" t="inlineStr">
        <is>
          <t>Tasks · Schema</t>
        </is>
      </c>
      <c r="D325" s="12" t="inlineStr">
        <is>
          <t>P0</t>
        </is>
      </c>
      <c r="E325" s="15" t="inlineStr">
        <is>
          <t>Dropped</t>
        </is>
      </c>
      <c r="F325" s="11" t="inlineStr">
        <is>
          <t>task-status-38-records.sql</t>
        </is>
      </c>
      <c r="G325" s="11" t="inlineStr">
        <is>
          <t>Count: t-todo 22 / t-prog 11 / t-done 5</t>
        </is>
      </c>
      <c r="H325" s="24" t="inlineStr">
        <is>
          <t>L3</t>
        </is>
      </c>
      <c r="I325" t="inlineStr">
        <is>
          <t>Tasks submodule</t>
        </is>
      </c>
    </row>
    <row r="326">
      <c r="A326" s="11" t="inlineStr">
        <is>
          <t>LAZY-5</t>
        </is>
      </c>
      <c r="B326" s="11" t="inlineStr">
        <is>
          <t>CANCELLED — absorbed into R2-4. Migrating the 15 surfaces to make the OLD lazy model work, then again to the hybrid, would touch each twice. They move once, to the hybrid; the flag is DELETED, not re-enabled</t>
        </is>
      </c>
      <c r="C326" s="11" t="inlineStr">
        <is>
          <t>Performance · Lazy load</t>
        </is>
      </c>
      <c r="D326" s="13" t="inlineStr">
        <is>
          <t>P1</t>
        </is>
      </c>
      <c r="E326" s="15" t="inlineStr">
        <is>
          <t>Dropped</t>
        </is>
      </c>
      <c r="F326" s="11" t="inlineStr">
        <is>
          <t>coral-lazy-load-regression.md</t>
        </is>
      </c>
      <c r="G326" s="11" t="inlineStr">
        <is>
          <t>Florin caught this 2026-09-12</t>
        </is>
      </c>
      <c r="H326" s="23" t="inlineStr">
        <is>
          <t>L1</t>
        </is>
      </c>
      <c r="I326" t="inlineStr">
        <is>
          <t>read path — usePagesOf accessor</t>
        </is>
      </c>
    </row>
    <row r="327">
      <c r="A327" s="11" t="inlineStr">
        <is>
          <t>TASK-M12</t>
        </is>
      </c>
      <c r="B327" s="11" t="inlineStr">
        <is>
          <t>One BottomSheet primitive: dvh (not vh), overscroll-contain, body scroll lock, fixed footer for Delete. Fixes scroll-under, elastic bounce, unreachable Delete, no vertical scroll — all one root</t>
        </is>
      </c>
      <c r="C327" s="11" t="inlineStr">
        <is>
          <t>Tasks · Mobile</t>
        </is>
      </c>
      <c r="D327" s="12" t="inlineStr">
        <is>
          <t>P0</t>
        </is>
      </c>
      <c r="E327" s="11" t="inlineStr">
        <is>
          <t>Open</t>
        </is>
      </c>
      <c r="F327" s="11" t="inlineStr">
        <is>
          <t>coder-directive-tasks-sheet.md</t>
        </is>
      </c>
      <c r="G327" s="11" t="inlineStr">
        <is>
          <t>[P2.6] 3 hand-rolled sheets, none correct</t>
        </is>
      </c>
      <c r="H327" s="24" t="inlineStr">
        <is>
          <t>L3</t>
        </is>
      </c>
      <c r="I327" t="inlineStr">
        <is>
          <t>Tasks submodule</t>
        </is>
      </c>
    </row>
    <row r="328">
      <c r="A328" s="11" t="inlineStr">
        <is>
          <t>TASK-M13</t>
        </is>
      </c>
      <c r="B328" s="11" t="inlineStr">
        <is>
          <t>File attachment on a task — camera/library, storage.put tenant-scoped, offline-queued, declare prop-task-attachments</t>
        </is>
      </c>
      <c r="C328" s="11" t="inlineStr">
        <is>
          <t>Tasks · Mobile</t>
        </is>
      </c>
      <c r="D328" s="13" t="inlineStr">
        <is>
          <t>P1</t>
        </is>
      </c>
      <c r="E328" s="11" t="inlineStr">
        <is>
          <t>Open</t>
        </is>
      </c>
      <c r="F328" s="11" t="inlineStr">
        <is>
          <t>coder-directive-tasks-sheet.md</t>
        </is>
      </c>
      <c r="G328" s="11" t="inlineStr">
        <is>
          <t>[P2.7] Planner omission</t>
        </is>
      </c>
      <c r="H328" s="24" t="inlineStr">
        <is>
          <t>L3</t>
        </is>
      </c>
      <c r="I328" t="inlineStr">
        <is>
          <t>Tasks submodule</t>
        </is>
      </c>
    </row>
    <row r="329">
      <c r="A329" s="11" t="inlineStr">
        <is>
          <t>TASK-M14</t>
        </is>
      </c>
      <c r="B329" s="11" t="inlineStr">
        <is>
          <t>Recurrence anchor must be a VISIBLE PER-TASK SETTING (from due / from completion) — currently implemented but not exposed — plus show the next computed date</t>
        </is>
      </c>
      <c r="C329" s="11" t="inlineStr">
        <is>
          <t>Tasks · Mobile</t>
        </is>
      </c>
      <c r="D329" s="13" t="inlineStr">
        <is>
          <t>P1</t>
        </is>
      </c>
      <c r="E329" s="11" t="inlineStr">
        <is>
          <t>Open</t>
        </is>
      </c>
      <c r="F329" s="11" t="inlineStr">
        <is>
          <t>coder-directive-tasks-sheet.md</t>
        </is>
      </c>
      <c r="G329" s="11" t="inlineStr">
        <is>
          <t>[P2.8]</t>
        </is>
      </c>
      <c r="H329" s="24" t="inlineStr">
        <is>
          <t>L3</t>
        </is>
      </c>
      <c r="I329" t="inlineStr">
        <is>
          <t>Tasks submodule</t>
        </is>
      </c>
    </row>
    <row r="330">
      <c r="A330" s="11" t="inlineStr">
        <is>
          <t>TASK-M15</t>
        </is>
      </c>
      <c r="B330" s="11" t="inlineStr">
        <is>
          <t>Reminders = EMAIL DIGEST (decided). Resend, no new infra. SMS is a later channel choice driven by 2FA, not a reminder project</t>
        </is>
      </c>
      <c r="C330" s="11" t="inlineStr">
        <is>
          <t>Tasks · Mobile</t>
        </is>
      </c>
      <c r="D330" s="13" t="inlineStr">
        <is>
          <t>P1</t>
        </is>
      </c>
      <c r="E330" s="11" t="inlineStr">
        <is>
          <t>Open</t>
        </is>
      </c>
      <c r="F330" s="11" t="inlineStr">
        <is>
          <t>coder-directive-tasks-sheet.md</t>
        </is>
      </c>
      <c r="G330" s="11" t="inlineStr">
        <is>
          <t>[P2.9] DECIDED 2026-09-12</t>
        </is>
      </c>
      <c r="H330" s="24" t="inlineStr">
        <is>
          <t>L3</t>
        </is>
      </c>
      <c r="I330" t="inlineStr">
        <is>
          <t>Tasks submodule</t>
        </is>
      </c>
    </row>
    <row r="331">
      <c r="A331" s="11" t="inlineStr">
        <is>
          <t>SMS-1</t>
        </is>
      </c>
      <c r="B331" s="11" t="inlineStr">
        <is>
          <t>lib/messaging MessagingProvider implemented against Sweego. Nothing outside lib/messaging imports the Sweego SDK — swapping stays a one-file change</t>
        </is>
      </c>
      <c r="C331" s="11" t="inlineStr">
        <is>
          <t>Platform · SMS</t>
        </is>
      </c>
      <c r="D331" s="14" t="inlineStr">
        <is>
          <t>P2</t>
        </is>
      </c>
      <c r="E331" s="11" t="inlineStr">
        <is>
          <t>Open</t>
        </is>
      </c>
      <c r="F331" s="11" t="inlineStr">
        <is>
          <t>coral-sms-transport.md</t>
        </is>
      </c>
      <c r="G331" s="11" t="inlineStr">
        <is>
          <t>2FA drives it, not reminders</t>
        </is>
      </c>
      <c r="H331" s="27" t="inlineStr">
        <is>
          <t>L0</t>
        </is>
      </c>
      <c r="I331" t="inlineStr">
        <is>
          <t>messaging — provider-agnostic transport</t>
        </is>
      </c>
    </row>
    <row r="332">
      <c r="A332" s="11" t="inlineStr">
        <is>
          <t>SMS-2</t>
        </is>
      </c>
      <c r="B332" s="11" t="inlineStr">
        <is>
          <t>2FA over SMS — FLORIN DECISION on scope (who) + mandatory recovery codes + rate limits + SMS-pumping geo-allowlist</t>
        </is>
      </c>
      <c r="C332" s="11" t="inlineStr">
        <is>
          <t>Platform · SMS</t>
        </is>
      </c>
      <c r="D332" s="14" t="inlineStr">
        <is>
          <t>P2</t>
        </is>
      </c>
      <c r="E332" s="11" t="inlineStr">
        <is>
          <t>Open</t>
        </is>
      </c>
      <c r="F332" s="11" t="inlineStr">
        <is>
          <t>coral-sms-transport.md</t>
        </is>
      </c>
      <c r="G332" s="11" t="inlineStr">
        <is>
          <t>FLORIN DECISION</t>
        </is>
      </c>
      <c r="H332" s="27" t="inlineStr">
        <is>
          <t>L0</t>
        </is>
      </c>
      <c r="I332" t="inlineStr">
        <is>
          <t>messaging — provider-agnostic transport</t>
        </is>
      </c>
    </row>
    <row r="333">
      <c r="A333" s="11" t="inlineStr">
        <is>
          <t>SMS-3</t>
        </is>
      </c>
      <c r="B333" s="11" t="inlineStr">
        <is>
          <t>Reminders as a second SMS consumer — per-user channel choice, per-tenant opt-in and cost ceiling</t>
        </is>
      </c>
      <c r="C333" s="11" t="inlineStr">
        <is>
          <t>Platform · SMS</t>
        </is>
      </c>
      <c r="D333" s="17" t="inlineStr">
        <is>
          <t>P3</t>
        </is>
      </c>
      <c r="E333" s="11" t="inlineStr">
        <is>
          <t>Open</t>
        </is>
      </c>
      <c r="F333" s="11" t="inlineStr">
        <is>
          <t>coral-sms-transport.md</t>
        </is>
      </c>
      <c r="G333" s="11" t="inlineStr">
        <is>
          <t>After SMS-1/2</t>
        </is>
      </c>
      <c r="H333" s="27" t="inlineStr">
        <is>
          <t>L0</t>
        </is>
      </c>
      <c r="I333" t="inlineStr">
        <is>
          <t>messaging — provider-agnostic transport</t>
        </is>
      </c>
    </row>
    <row r="334">
      <c r="A334" s="11" t="inlineStr">
        <is>
          <t>SMS-0</t>
        </is>
      </c>
      <c r="B334" s="11" t="inlineStr">
        <is>
          <t>Sweego trial: send to your phone + one crew phone, confirm BE delivery and CORAL sender ID. Check BE price on their worldwide list (EUR 0.040 is the FR price). Credits valid 12 months — buy small</t>
        </is>
      </c>
      <c r="C334" s="11" t="inlineStr">
        <is>
          <t>Platform · SMS</t>
        </is>
      </c>
      <c r="D334" s="14" t="inlineStr">
        <is>
          <t>P2</t>
        </is>
      </c>
      <c r="E334" s="11" t="inlineStr">
        <is>
          <t>Open</t>
        </is>
      </c>
      <c r="F334" s="11" t="inlineStr">
        <is>
          <t>coral-sms-transport.md</t>
        </is>
      </c>
      <c r="G334" s="11" t="inlineStr">
        <is>
          <t>DECIDED: Sweego for SMS. Narrowed from evaluation to one confirmation test</t>
        </is>
      </c>
      <c r="H334" s="27" t="inlineStr">
        <is>
          <t>L0</t>
        </is>
      </c>
      <c r="I334" t="inlineStr">
        <is>
          <t>messaging — provider-agnostic transport</t>
        </is>
      </c>
    </row>
    <row r="335">
      <c r="A335" t="inlineStr">
        <is>
          <t>TSC-4</t>
        </is>
      </c>
      <c r="B335" t="inlineStr">
        <is>
          <t>TSC-4-SCHEMA · Declare ShiftTask + ShiftAttachment relations (Class C blocker for R1-4)</t>
        </is>
      </c>
      <c r="C335" t="inlineStr">
        <is>
          <t>Tenancy (R1)</t>
        </is>
      </c>
      <c r="D335" t="inlineStr">
        <is>
          <t>P0</t>
        </is>
      </c>
      <c r="E335" t="inlineStr">
        <is>
          <t>Done</t>
        </is>
      </c>
      <c r="F335" t="inlineStr">
        <is>
          <t>coder-directive-tsc4-shift-relations.md</t>
        </is>
      </c>
      <c r="G335" t="inlineStr">
        <is>
          <t>Closed 2026-09-24. Migration was a NO-OP: both constraints already existed with ON DELETE CASCADE on production AND staging. The DB was always right; schema.prisma was wrong. Resolved with prisma migrate resolve --applied. Planner's orphan-hazard reasoning was wrong because Postgres had been enforcing the FK all along.</t>
        </is>
      </c>
      <c r="H335" s="28" t="inlineStr">
        <is>
          <t>GATE</t>
        </is>
      </c>
      <c r="I335" t="inlineStr">
        <is>
          <t>TenantScopedClient</t>
        </is>
      </c>
    </row>
    <row r="336">
      <c r="A336" t="inlineStr">
        <is>
          <t>TSC-5</t>
        </is>
      </c>
      <c r="B336" t="inlineStr">
        <is>
          <t>Scope classification table; unclassified model throws at query time</t>
        </is>
      </c>
      <c r="C336" t="inlineStr">
        <is>
          <t>Tenancy (R1)</t>
        </is>
      </c>
      <c r="D336" t="inlineStr">
        <is>
          <t>P0</t>
        </is>
      </c>
      <c r="E336" t="inlineStr">
        <is>
          <t>Open</t>
        </is>
      </c>
      <c r="F336" t="inlineStr">
        <is>
          <t>coral-tsc-design.md</t>
        </is>
      </c>
      <c r="G336" t="inlineStr">
        <is>
          <t>Superseded in shape by TSC-9: the classification table lands in lib/data/scope-rules.ts as a pure module, exhaustively tested against schema.prisma.</t>
        </is>
      </c>
      <c r="H336" s="28" t="inlineStr">
        <is>
          <t>GATE</t>
        </is>
      </c>
      <c r="I336" t="inlineStr">
        <is>
          <t>TenantScopedClient</t>
        </is>
      </c>
    </row>
    <row r="337">
      <c r="A337" t="inlineStr">
        <is>
          <t>TSC-6</t>
        </is>
      </c>
      <c r="B337" t="inlineStr">
        <is>
          <t>platformDb() as a second named client — never a flag on the scoped one</t>
        </is>
      </c>
      <c r="C337" t="inlineStr">
        <is>
          <t>Tenancy (R1)</t>
        </is>
      </c>
      <c r="D337" t="inlineStr">
        <is>
          <t>P0</t>
        </is>
      </c>
      <c r="E337" t="inlineStr">
        <is>
          <t>Open</t>
        </is>
      </c>
      <c r="F337" t="inlineStr">
        <is>
          <t>coral-tsc-design.md</t>
        </is>
      </c>
      <c r="H337" s="28" t="inlineStr">
        <is>
          <t>GATE</t>
        </is>
      </c>
      <c r="I337" t="inlineStr">
        <is>
          <t>platform access</t>
        </is>
      </c>
    </row>
    <row r="338">
      <c r="A338" t="inlineStr">
        <is>
          <t>TSC-7</t>
        </is>
      </c>
      <c r="B338" t="inlineStr">
        <is>
          <t>Move the 3 raw queries into lib/data/raw as named functions</t>
        </is>
      </c>
      <c r="C338" t="inlineStr">
        <is>
          <t>Tenancy (R1)</t>
        </is>
      </c>
      <c r="D338" t="inlineStr">
        <is>
          <t>P1</t>
        </is>
      </c>
      <c r="E338" t="inlineStr">
        <is>
          <t>Open</t>
        </is>
      </c>
      <c r="F338" t="inlineStr">
        <is>
          <t>coral-tsc-design.md</t>
        </is>
      </c>
      <c r="H338" s="23" t="inlineStr">
        <is>
          <t>L1</t>
        </is>
      </c>
      <c r="I338" t="inlineStr">
        <is>
          <t>raw SQL</t>
        </is>
      </c>
    </row>
    <row r="339">
      <c r="A339" t="inlineStr">
        <is>
          <t>TSC-8</t>
        </is>
      </c>
      <c r="B339" t="inlineStr">
        <is>
          <t>upsert scoping automatic — retires saveGlobalDatabase's hand-rolled check</t>
        </is>
      </c>
      <c r="C339" t="inlineStr">
        <is>
          <t>Tenancy (R1)</t>
        </is>
      </c>
      <c r="D339" t="inlineStr">
        <is>
          <t>P1</t>
        </is>
      </c>
      <c r="E339" t="inlineStr">
        <is>
          <t>Open</t>
        </is>
      </c>
      <c r="F339" t="inlineStr">
        <is>
          <t>coral-tsc-design.md</t>
        </is>
      </c>
      <c r="H339" s="28" t="inlineStr">
        <is>
          <t>GATE</t>
        </is>
      </c>
      <c r="I339" t="inlineStr">
        <is>
          <t>TenantScopedClient</t>
        </is>
      </c>
    </row>
    <row r="340">
      <c r="A340" t="inlineStr">
        <is>
          <t>TSC-9</t>
        </is>
      </c>
      <c r="B340" t="inlineStr">
        <is>
          <t>tenant-isolation.test.ts written FIRST, red — exhaustive rule table, not an integration test</t>
        </is>
      </c>
      <c r="C340" t="inlineStr">
        <is>
          <t>Tenancy (R1)</t>
        </is>
      </c>
      <c r="D340" t="inlineStr">
        <is>
          <t>P0</t>
        </is>
      </c>
      <c r="E340" t="inlineStr">
        <is>
          <t>Red as intended — awaiting R1-4</t>
        </is>
      </c>
      <c r="F340" t="inlineStr">
        <is>
          <t>coder-directive-tsc9-isolation-test.md</t>
        </is>
      </c>
      <c r="G340" t="inlineStr">
        <is>
          <t>Harness has no DB (176 tests/1.6s, zero deps). Forces scope-rules.ts as a PURE module; $extends becomes plumbing. Binding change to TSC-0 D1/D2. | 18 tests: 5 green (exhaustiveness), 13 red (NOT_IMPLEMENTED). §2D's 2 assertions written but not counted while the describe is skipped — file goes 18-&gt;20 when R1-4 lands.</t>
        </is>
      </c>
      <c r="H340" s="25" t="inlineStr">
        <is>
          <t>⟂</t>
        </is>
      </c>
      <c r="I340" t="inlineStr">
        <is>
          <t>test suite</t>
        </is>
      </c>
    </row>
    <row r="341">
      <c r="A341" t="inlineStr">
        <is>
          <t>R5-0</t>
        </is>
      </c>
      <c r="B341" t="inlineStr">
        <is>
          <t>Tenant job runner: runForEachTenant, scoped client, per-tenant failure isolation</t>
        </is>
      </c>
      <c r="C341" t="inlineStr">
        <is>
          <t>Scheduled work (R5)</t>
        </is>
      </c>
      <c r="D341" t="inlineStr">
        <is>
          <t>P0</t>
        </is>
      </c>
      <c r="E341" t="inlineStr">
        <is>
          <t>Open</t>
        </is>
      </c>
      <c r="F341" t="inlineStr">
        <is>
          <t>coral-r5-scheduled-work.md</t>
        </is>
      </c>
      <c r="H341" s="27" t="inlineStr">
        <is>
          <t>L0</t>
        </is>
      </c>
      <c r="I341" t="inlineStr">
        <is>
          <t>tenant job runner — runForEachTenant</t>
        </is>
      </c>
    </row>
    <row r="342">
      <c r="A342" t="inlineStr">
        <is>
          <t>R5-1</t>
        </is>
      </c>
      <c r="B342" t="inlineStr">
        <is>
          <t>Job registry + single CRON_SECRET check (copied 4x today, open when unset)</t>
        </is>
      </c>
      <c r="C342" t="inlineStr">
        <is>
          <t>Scheduled work (R5)</t>
        </is>
      </c>
      <c r="D342" t="inlineStr">
        <is>
          <t>P0</t>
        </is>
      </c>
      <c r="E342" t="inlineStr">
        <is>
          <t>Open</t>
        </is>
      </c>
      <c r="F342" t="inlineStr">
        <is>
          <t>coral-r5-scheduled-work.md</t>
        </is>
      </c>
      <c r="H342" s="23" t="inlineStr">
        <is>
          <t>L1</t>
        </is>
      </c>
      <c r="I342" t="inlineStr">
        <is>
          <t>job registry / CRON_SECRET</t>
        </is>
      </c>
    </row>
    <row r="343">
      <c r="A343" t="inlineStr">
        <is>
          <t>R5-2</t>
        </is>
      </c>
      <c r="B343" t="inlineStr">
        <is>
          <t>Job bodies as tenant-scoped functions; no prisma import below the gate</t>
        </is>
      </c>
      <c r="C343" t="inlineStr">
        <is>
          <t>Scheduled work (R5)</t>
        </is>
      </c>
      <c r="D343" t="inlineStr">
        <is>
          <t>P0</t>
        </is>
      </c>
      <c r="E343" t="inlineStr">
        <is>
          <t>Open</t>
        </is>
      </c>
      <c r="F343" t="inlineStr">
        <is>
          <t>coral-r5-scheduled-work.md</t>
        </is>
      </c>
      <c r="H343" s="22" t="inlineStr">
        <is>
          <t>L2</t>
        </is>
      </c>
      <c r="I343" t="inlineStr">
        <is>
          <t>cron job bodies</t>
        </is>
      </c>
    </row>
    <row r="344">
      <c r="A344" t="inlineStr">
        <is>
          <t>R5-3</t>
        </is>
      </c>
      <c r="B344" t="inlineStr">
        <is>
          <t>CI gate: nothing under api/cron imports prisma</t>
        </is>
      </c>
      <c r="C344" t="inlineStr">
        <is>
          <t>Scheduled work (R5)</t>
        </is>
      </c>
      <c r="D344" t="inlineStr">
        <is>
          <t>P0</t>
        </is>
      </c>
      <c r="E344" t="inlineStr">
        <is>
          <t>Done</t>
        </is>
      </c>
      <c r="F344" t="inlineStr">
        <is>
          <t>coral-r5-scheduled-work.md</t>
        </is>
      </c>
      <c r="G344" t="inlineStr">
        <is>
          <t>PRE-1d.1: live as error, 2 grandfathered exceptions (invoice-overdue, reminders). Verified by deliberate violation 2026-09-23.</t>
        </is>
      </c>
      <c r="H344" s="25" t="inlineStr">
        <is>
          <t>⟂</t>
        </is>
      </c>
      <c r="I344" t="inlineStr">
        <is>
          <t>CI gates</t>
        </is>
      </c>
    </row>
    <row r="345">
      <c r="A345" t="inlineStr">
        <is>
          <t>IMP-0</t>
        </is>
      </c>
      <c r="B345" t="inlineStr">
        <is>
          <t>acting-scope kernel primitive — returns a scope, never a boolean</t>
        </is>
      </c>
      <c r="C345" t="inlineStr">
        <is>
          <t>Impersonation</t>
        </is>
      </c>
      <c r="D345" t="inlineStr">
        <is>
          <t>P0</t>
        </is>
      </c>
      <c r="E345" t="inlineStr">
        <is>
          <t>Open</t>
        </is>
      </c>
      <c r="F345" t="inlineStr">
        <is>
          <t>coral-impersonation.md</t>
        </is>
      </c>
      <c r="H345" s="27" t="inlineStr">
        <is>
          <t>L0</t>
        </is>
      </c>
      <c r="I345" t="inlineStr">
        <is>
          <t>acting-scope</t>
        </is>
      </c>
    </row>
    <row r="346">
      <c r="A346" t="inlineStr">
        <is>
          <t>IMP-1</t>
        </is>
      </c>
      <c r="B346" t="inlineStr">
        <is>
          <t>Grant lifecycle: create/read/revoke/expire, stored not cookie-only</t>
        </is>
      </c>
      <c r="C346" t="inlineStr">
        <is>
          <t>Impersonation</t>
        </is>
      </c>
      <c r="D346" t="inlineStr">
        <is>
          <t>P0</t>
        </is>
      </c>
      <c r="E346" t="inlineStr">
        <is>
          <t>Open</t>
        </is>
      </c>
      <c r="F346" t="inlineStr">
        <is>
          <t>coral-impersonation.md</t>
        </is>
      </c>
      <c r="H346" s="23" t="inlineStr">
        <is>
          <t>L1</t>
        </is>
      </c>
      <c r="I346" t="inlineStr">
        <is>
          <t>grant lifecycle</t>
        </is>
      </c>
    </row>
    <row r="347">
      <c r="A347" t="inlineStr">
        <is>
          <t>IMP-2</t>
        </is>
      </c>
      <c r="B347" t="inlineStr">
        <is>
          <t>TENANT_OPERATOR role; impersonateTenant leaves superadmin.ts</t>
        </is>
      </c>
      <c r="C347" t="inlineStr">
        <is>
          <t>Impersonation</t>
        </is>
      </c>
      <c r="D347" t="inlineStr">
        <is>
          <t>P0</t>
        </is>
      </c>
      <c r="E347" t="inlineStr">
        <is>
          <t>Open</t>
        </is>
      </c>
      <c r="F347" t="inlineStr">
        <is>
          <t>coral-impersonation.md</t>
        </is>
      </c>
      <c r="H347" s="28" t="inlineStr">
        <is>
          <t>GATE</t>
        </is>
      </c>
      <c r="I347" t="inlineStr">
        <is>
          <t>operator vs admin user scopes</t>
        </is>
      </c>
    </row>
    <row r="348">
      <c r="A348" t="inlineStr">
        <is>
          <t>IMP-3</t>
        </is>
      </c>
      <c r="B348" t="inlineStr">
        <is>
          <t>Remove privilege elevation — isImpersonating must not bypass limits</t>
        </is>
      </c>
      <c r="C348" t="inlineStr">
        <is>
          <t>Impersonation</t>
        </is>
      </c>
      <c r="D348" t="inlineStr">
        <is>
          <t>P0</t>
        </is>
      </c>
      <c r="E348" t="inlineStr">
        <is>
          <t>Open</t>
        </is>
      </c>
      <c r="F348" t="inlineStr">
        <is>
          <t>pd.md AUTHORITY DIRECTIVE</t>
        </is>
      </c>
      <c r="H348" s="28" t="inlineStr">
        <is>
          <t>GATE</t>
        </is>
      </c>
      <c r="I348" t="inlineStr">
        <is>
          <t>authority: asked not asserted</t>
        </is>
      </c>
    </row>
    <row r="349">
      <c r="A349" t="inlineStr">
        <is>
          <t>IMP-4</t>
        </is>
      </c>
      <c r="B349" t="inlineStr">
        <is>
          <t>Append-only operator session log; every write, every outbound act</t>
        </is>
      </c>
      <c r="C349" t="inlineStr">
        <is>
          <t>Impersonation</t>
        </is>
      </c>
      <c r="D349" t="inlineStr">
        <is>
          <t>P0</t>
        </is>
      </c>
      <c r="E349" t="inlineStr">
        <is>
          <t>Open</t>
        </is>
      </c>
      <c r="F349" t="inlineStr">
        <is>
          <t>coral-impersonation.md</t>
        </is>
      </c>
      <c r="H349" s="23" t="inlineStr">
        <is>
          <t>L1</t>
        </is>
      </c>
      <c r="I349" t="inlineStr">
        <is>
          <t>AuditLog / attribution</t>
        </is>
      </c>
    </row>
    <row r="350">
      <c r="A350" t="inlineStr">
        <is>
          <t>IMP-5</t>
        </is>
      </c>
      <c r="B350" t="inlineStr">
        <is>
          <t>Consent: a tenant grants support access, sees it, can revoke</t>
        </is>
      </c>
      <c r="C350" t="inlineStr">
        <is>
          <t>Impersonation</t>
        </is>
      </c>
      <c r="D350" t="inlineStr">
        <is>
          <t>P1</t>
        </is>
      </c>
      <c r="E350" t="inlineStr">
        <is>
          <t>Open</t>
        </is>
      </c>
      <c r="F350" t="inlineStr">
        <is>
          <t>coral-impersonation.md</t>
        </is>
      </c>
      <c r="H350" s="28" t="inlineStr">
        <is>
          <t>MODULE GATE</t>
        </is>
      </c>
      <c r="I350" t="inlineStr">
        <is>
          <t>support-access consent</t>
        </is>
      </c>
    </row>
    <row r="351">
      <c r="A351" t="inlineStr">
        <is>
          <t>IMP-6</t>
        </is>
      </c>
      <c r="B351" t="inlineStr">
        <is>
          <t>Persistent indicator: tenant + time remaining + one-click exit</t>
        </is>
      </c>
      <c r="C351" t="inlineStr">
        <is>
          <t>Impersonation</t>
        </is>
      </c>
      <c r="D351" t="inlineStr">
        <is>
          <t>P0</t>
        </is>
      </c>
      <c r="E351" t="inlineStr">
        <is>
          <t>Open</t>
        </is>
      </c>
      <c r="F351" t="inlineStr">
        <is>
          <t>coral-impersonation.md</t>
        </is>
      </c>
      <c r="H351" s="26" t="inlineStr">
        <is>
          <t>L4</t>
        </is>
      </c>
      <c r="I351" t="inlineStr">
        <is>
          <t>impersonation indicator</t>
        </is>
      </c>
    </row>
    <row r="352">
      <c r="A352" t="inlineStr">
        <is>
          <t>IMP-7</t>
        </is>
      </c>
      <c r="B352" t="inlineStr">
        <is>
          <t>Tenant-side support-access log, readable and exportable</t>
        </is>
      </c>
      <c r="C352" t="inlineStr">
        <is>
          <t>Impersonation</t>
        </is>
      </c>
      <c r="D352" t="inlineStr">
        <is>
          <t>P1</t>
        </is>
      </c>
      <c r="E352" t="inlineStr">
        <is>
          <t>Open</t>
        </is>
      </c>
      <c r="F352" t="inlineStr">
        <is>
          <t>coral-impersonation.md</t>
        </is>
      </c>
      <c r="H352" s="24" t="inlineStr">
        <is>
          <t>L3</t>
        </is>
      </c>
      <c r="I352" t="inlineStr">
        <is>
          <t>tenant support log</t>
        </is>
      </c>
    </row>
    <row r="353">
      <c r="A353" t="inlineStr">
        <is>
          <t>CUSTOM-1</t>
        </is>
      </c>
      <c r="B353" t="inlineStr">
        <is>
          <t>mintDatabaseId — server-side identity minting; kill specificId param</t>
        </is>
      </c>
      <c r="C353" t="inlineStr">
        <is>
          <t>Custom databases</t>
        </is>
      </c>
      <c r="D353" t="inlineStr">
        <is>
          <t>P0</t>
        </is>
      </c>
      <c r="E353" t="inlineStr">
        <is>
          <t>Done</t>
        </is>
      </c>
      <c r="F353" t="inlineStr">
        <is>
          <t>coral-custom-databases.md</t>
        </is>
      </c>
      <c r="H353" s="27" t="inlineStr">
        <is>
          <t>L0</t>
        </is>
      </c>
      <c r="I353" t="inlineStr">
        <is>
          <t>mintDatabaseId</t>
        </is>
      </c>
    </row>
    <row r="354">
      <c r="A354" t="inlineStr">
        <is>
          <t>CUSTOM-2</t>
        </is>
      </c>
      <c r="B354" t="inlineStr">
        <is>
          <t>Provisioning as a callable server capability (idempotent, on demand)</t>
        </is>
      </c>
      <c r="C354" t="inlineStr">
        <is>
          <t>Custom databases</t>
        </is>
      </c>
      <c r="D354" t="inlineStr">
        <is>
          <t>P0</t>
        </is>
      </c>
      <c r="E354" t="inlineStr">
        <is>
          <t>Open</t>
        </is>
      </c>
      <c r="F354" t="inlineStr">
        <is>
          <t>coral-custom-databases.md</t>
        </is>
      </c>
      <c r="H354" s="23" t="inlineStr">
        <is>
          <t>L1</t>
        </is>
      </c>
      <c r="I354" t="inlineStr">
        <is>
          <t>provisioning capability</t>
        </is>
      </c>
    </row>
    <row r="355">
      <c r="A355" t="inlineStr">
        <is>
          <t>CUSTOM-3</t>
        </is>
      </c>
      <c r="B355" t="inlineStr">
        <is>
          <t>Schema validation — nothing undeclared</t>
        </is>
      </c>
      <c r="C355" t="inlineStr">
        <is>
          <t>Custom databases</t>
        </is>
      </c>
      <c r="D355" t="inlineStr">
        <is>
          <t>P1</t>
        </is>
      </c>
      <c r="E355" t="inlineStr">
        <is>
          <t>Open</t>
        </is>
      </c>
      <c r="F355" t="inlineStr">
        <is>
          <t>coral-custom-databases.md</t>
        </is>
      </c>
      <c r="H355" s="23" t="inlineStr">
        <is>
          <t>L1</t>
        </is>
      </c>
      <c r="I355" t="inlineStr">
        <is>
          <t>schema validation</t>
        </is>
      </c>
    </row>
    <row r="356">
      <c r="A356" t="inlineStr">
        <is>
          <t>CUSTOM-4</t>
        </is>
      </c>
      <c r="B356" t="inlineStr">
        <is>
          <t>Remove client-side database creation from DatabaseClone</t>
        </is>
      </c>
      <c r="C356" t="inlineStr">
        <is>
          <t>Custom databases</t>
        </is>
      </c>
      <c r="D356" t="inlineStr">
        <is>
          <t>P0</t>
        </is>
      </c>
      <c r="E356" t="inlineStr">
        <is>
          <t>Done</t>
        </is>
      </c>
      <c r="F356" t="inlineStr">
        <is>
          <t>coral-custom-databases.md</t>
        </is>
      </c>
      <c r="H356" s="28" t="inlineStr">
        <is>
          <t>GATE</t>
        </is>
      </c>
      <c r="I356" t="inlineStr">
        <is>
          <t>no client-side DB creation</t>
        </is>
      </c>
    </row>
    <row r="357">
      <c r="A357" t="inlineStr">
        <is>
          <t>CUSTOM-5</t>
        </is>
      </c>
      <c r="B357" t="inlineStr">
        <is>
          <t>Per-tier limit on custom databases, enforced server-side</t>
        </is>
      </c>
      <c r="C357" t="inlineStr">
        <is>
          <t>Custom databases</t>
        </is>
      </c>
      <c r="D357" t="inlineStr">
        <is>
          <t>P1</t>
        </is>
      </c>
      <c r="E357" t="inlineStr">
        <is>
          <t>Open</t>
        </is>
      </c>
      <c r="F357" t="inlineStr">
        <is>
          <t>coral-custom-databases.md</t>
        </is>
      </c>
      <c r="H357" s="28" t="inlineStr">
        <is>
          <t>MODULE GATE</t>
        </is>
      </c>
      <c r="I357" t="inlineStr">
        <is>
          <t>DATABASES entitlement</t>
        </is>
      </c>
    </row>
    <row r="358">
      <c r="A358" t="inlineStr">
        <is>
          <t>CUSTOM-6</t>
        </is>
      </c>
      <c r="B358" t="inlineStr">
        <is>
          <t>dynamic-db: real create flow, DB list, reachable schema editor</t>
        </is>
      </c>
      <c r="C358" t="inlineStr">
        <is>
          <t>Custom databases</t>
        </is>
      </c>
      <c r="D358" t="inlineStr">
        <is>
          <t>P1</t>
        </is>
      </c>
      <c r="E358" t="inlineStr">
        <is>
          <t>Open</t>
        </is>
      </c>
      <c r="F358" t="inlineStr">
        <is>
          <t>coral-custom-databases.md</t>
        </is>
      </c>
      <c r="H358" s="26" t="inlineStr">
        <is>
          <t>L4</t>
        </is>
      </c>
      <c r="I358" t="inlineStr">
        <is>
          <t>dynamic-db screens</t>
        </is>
      </c>
    </row>
    <row r="359">
      <c r="A359" t="inlineStr">
        <is>
          <t>CUSTOM-7</t>
        </is>
      </c>
      <c r="B359" t="inlineStr">
        <is>
          <t>Creation lives in settings: name, configure, choose host module</t>
        </is>
      </c>
      <c r="C359" t="inlineStr">
        <is>
          <t>Custom databases</t>
        </is>
      </c>
      <c r="D359" t="inlineStr">
        <is>
          <t>P1</t>
        </is>
      </c>
      <c r="E359" t="inlineStr">
        <is>
          <t>Open</t>
        </is>
      </c>
      <c r="F359" t="inlineStr">
        <is>
          <t>coral-custom-databases.md</t>
        </is>
      </c>
      <c r="H359" s="26" t="inlineStr">
        <is>
          <t>L4</t>
        </is>
      </c>
      <c r="I359" t="inlineStr">
        <is>
          <t>settings</t>
        </is>
      </c>
    </row>
    <row r="360">
      <c r="A360" t="inlineStr">
        <is>
          <t>CUSTOM-8</t>
        </is>
      </c>
      <c r="B360" t="inlineStr">
        <is>
          <t>GlobalDatabase records a host module — required, no 'unassigned'</t>
        </is>
      </c>
      <c r="C360" t="inlineStr">
        <is>
          <t>Custom databases</t>
        </is>
      </c>
      <c r="D360" t="inlineStr">
        <is>
          <t>P1</t>
        </is>
      </c>
      <c r="E360" t="inlineStr">
        <is>
          <t>Open</t>
        </is>
      </c>
      <c r="F360" t="inlineStr">
        <is>
          <t>coral-custom-databases.md</t>
        </is>
      </c>
      <c r="H360" s="28" t="inlineStr">
        <is>
          <t>GATE</t>
        </is>
      </c>
      <c r="I360" t="inlineStr">
        <is>
          <t>host module</t>
        </is>
      </c>
    </row>
    <row r="361">
      <c r="A361" t="inlineStr">
        <is>
          <t>CUSTOM-9</t>
        </is>
      </c>
      <c r="B361" t="inlineStr">
        <is>
          <t>Entitlement inherited from the host module; E3 lapse rules apply</t>
        </is>
      </c>
      <c r="C361" t="inlineStr">
        <is>
          <t>Custom databases</t>
        </is>
      </c>
      <c r="D361" t="inlineStr">
        <is>
          <t>P1</t>
        </is>
      </c>
      <c r="E361" t="inlineStr">
        <is>
          <t>Open</t>
        </is>
      </c>
      <c r="F361" t="inlineStr">
        <is>
          <t>coral-custom-databases.md</t>
        </is>
      </c>
      <c r="H361" s="28" t="inlineStr">
        <is>
          <t>MODULE GATE</t>
        </is>
      </c>
      <c r="I361" t="inlineStr">
        <is>
          <t>entitlement map</t>
        </is>
      </c>
    </row>
    <row r="362">
      <c r="A362" t="inlineStr">
        <is>
          <t>CUSTOM-10</t>
        </is>
      </c>
      <c r="B362" t="inlineStr">
        <is>
          <t>Host module is IMMUTABLE — no move operation; copy = create/import/delete</t>
        </is>
      </c>
      <c r="C362" t="inlineStr">
        <is>
          <t>Custom databases</t>
        </is>
      </c>
      <c r="D362" t="inlineStr">
        <is>
          <t>P1</t>
        </is>
      </c>
      <c r="E362" t="inlineStr">
        <is>
          <t>Open</t>
        </is>
      </c>
      <c r="F362" t="inlineStr">
        <is>
          <t>Florin 2026-09-21</t>
        </is>
      </c>
      <c r="H362" s="28" t="inlineStr">
        <is>
          <t>GATE</t>
        </is>
      </c>
      <c r="I362" t="inlineStr">
        <is>
          <t>host module</t>
        </is>
      </c>
    </row>
    <row r="363">
      <c r="A363" t="inlineStr">
        <is>
          <t>CUSTOM-6b</t>
        </is>
      </c>
      <c r="B363" t="inlineStr">
        <is>
          <t>CUSTOM-6 is NOT complete while the create button mints client-side</t>
        </is>
      </c>
      <c r="C363" t="inlineStr">
        <is>
          <t>Custom databases</t>
        </is>
      </c>
      <c r="D363" t="inlineStr">
        <is>
          <t>P1</t>
        </is>
      </c>
      <c r="E363" t="inlineStr">
        <is>
          <t>Open</t>
        </is>
      </c>
      <c r="F363" t="inlineStr">
        <is>
          <t>coder-directive-kernel-pass.md</t>
        </is>
      </c>
      <c r="H363" s="23" t="inlineStr">
        <is>
          <t>L1</t>
        </is>
      </c>
      <c r="I363" t="inlineStr">
        <is>
          <t>provisioning capability</t>
        </is>
      </c>
    </row>
    <row r="364">
      <c r="A364" t="inlineStr">
        <is>
          <t>PANEL-0</t>
        </is>
      </c>
      <c r="B364" t="inlineStr">
        <is>
          <t>Report: why the client relation resolves in grid and not in panel</t>
        </is>
      </c>
      <c r="C364" t="inlineStr">
        <is>
          <t>Record surface (R3)</t>
        </is>
      </c>
      <c r="D364" t="inlineStr">
        <is>
          <t>P1</t>
        </is>
      </c>
      <c r="E364" t="inlineStr">
        <is>
          <t>Done</t>
        </is>
      </c>
      <c r="F364" t="inlineStr">
        <is>
          <t>coder-directive-relation-resolution.md</t>
        </is>
      </c>
      <c r="H364" s="24" t="inlineStr">
        <is>
          <t>L3</t>
        </is>
      </c>
      <c r="I364" t="inlineStr">
        <is>
          <t>DbPropertiesPanel</t>
        </is>
      </c>
    </row>
    <row r="365">
      <c r="A365" t="inlineStr">
        <is>
          <t>PANEL-1</t>
        </is>
      </c>
      <c r="B365" t="inlineStr">
        <is>
          <t>logicalKey on relationDatabaseId, resolved through the book</t>
        </is>
      </c>
      <c r="C365" t="inlineStr">
        <is>
          <t>Record surface (R3)</t>
        </is>
      </c>
      <c r="D365" t="inlineStr">
        <is>
          <t>P0</t>
        </is>
      </c>
      <c r="E365" t="inlineStr">
        <is>
          <t>Open</t>
        </is>
      </c>
      <c r="F365" t="inlineStr">
        <is>
          <t>coder-directive-relation-resolution.md</t>
        </is>
      </c>
      <c r="H365" s="28" t="inlineStr">
        <is>
          <t>GATE</t>
        </is>
      </c>
      <c r="I365" t="inlineStr">
        <is>
          <t>logicalKey on relations</t>
        </is>
      </c>
    </row>
    <row r="366">
      <c r="A366" t="inlineStr">
        <is>
          <t>PANEL-2</t>
        </is>
      </c>
      <c r="B366" t="inlineStr">
        <is>
          <t>One resolveRelationTarget in the read model; returns a status</t>
        </is>
      </c>
      <c r="C366" t="inlineStr">
        <is>
          <t>Record surface (R3)</t>
        </is>
      </c>
      <c r="D366" t="inlineStr">
        <is>
          <t>P0</t>
        </is>
      </c>
      <c r="E366" t="inlineStr">
        <is>
          <t>Done</t>
        </is>
      </c>
      <c r="F366" t="inlineStr">
        <is>
          <t>coder-directive-relation-resolution.md</t>
        </is>
      </c>
      <c r="H366" s="23" t="inlineStr">
        <is>
          <t>L1</t>
        </is>
      </c>
      <c r="I366" t="inlineStr">
        <is>
          <t>relation resolver</t>
        </is>
      </c>
    </row>
    <row r="367">
      <c r="A367" t="inlineStr">
        <is>
          <t>PANEL-3</t>
        </is>
      </c>
      <c r="B367" t="inlineStr">
        <is>
          <t>RelationColumn / DbPropertiesPanel / LinkedRecords call the resolver</t>
        </is>
      </c>
      <c r="C367" t="inlineStr">
        <is>
          <t>Record surface (R3)</t>
        </is>
      </c>
      <c r="D367" t="inlineStr">
        <is>
          <t>P1</t>
        </is>
      </c>
      <c r="E367" t="inlineStr">
        <is>
          <t>Done</t>
        </is>
      </c>
      <c r="F367" t="inlineStr">
        <is>
          <t>coder-directive-relation-resolution.md</t>
        </is>
      </c>
      <c r="H367" s="24" t="inlineStr">
        <is>
          <t>L3</t>
        </is>
      </c>
      <c r="I367" t="inlineStr">
        <is>
          <t>relation consumers</t>
        </is>
      </c>
    </row>
    <row r="368">
      <c r="A368" t="inlineStr">
        <is>
          <t>PANEL-4</t>
        </is>
      </c>
      <c r="B368" t="inlineStr">
        <is>
          <t>Panel: widen, resizable, remembered width; loading + named error states</t>
        </is>
      </c>
      <c r="C368" t="inlineStr">
        <is>
          <t>Record surface (R3)</t>
        </is>
      </c>
      <c r="D368" t="inlineStr">
        <is>
          <t>P2</t>
        </is>
      </c>
      <c r="E368" t="inlineStr">
        <is>
          <t>Open</t>
        </is>
      </c>
      <c r="F368" t="inlineStr">
        <is>
          <t>coder-directive-relation-resolution.md</t>
        </is>
      </c>
      <c r="H368" s="26" t="inlineStr">
        <is>
          <t>L4</t>
        </is>
      </c>
      <c r="I368" t="inlineStr">
        <is>
          <t>DbPropertiesPanel</t>
        </is>
      </c>
    </row>
    <row r="369">
      <c r="A369" t="inlineStr">
        <is>
          <t>PANEL-5</t>
        </is>
      </c>
      <c r="B369" t="inlineStr">
        <is>
          <t>5 more relation consumers migrated: KanbanView, useGridColumns, SpreadsheetImportModal, PropertyMentionBlock, PageModal</t>
        </is>
      </c>
      <c r="C369" t="inlineStr">
        <is>
          <t>Record surface (R3)</t>
        </is>
      </c>
      <c r="D369" t="inlineStr">
        <is>
          <t>P1</t>
        </is>
      </c>
      <c r="E369" t="inlineStr">
        <is>
          <t>Done</t>
        </is>
      </c>
      <c r="F369" t="inlineStr">
        <is>
          <t>pd.md DISPLACEMENT RULE</t>
        </is>
      </c>
      <c r="H369" s="24" t="inlineStr">
        <is>
          <t>L3</t>
        </is>
      </c>
      <c r="I369" t="inlineStr">
        <is>
          <t>relation consumers</t>
        </is>
      </c>
    </row>
    <row r="370">
      <c r="A370" t="inlineStr">
        <is>
          <t>PANEL-6</t>
        </is>
      </c>
      <c r="B370" t="inlineStr">
        <is>
          <t>DatabaseClone seeds relationDatabaseId resolved — should seed a logicalKey (R1-1b)</t>
        </is>
      </c>
      <c r="C370" t="inlineStr">
        <is>
          <t>Record surface (R3)</t>
        </is>
      </c>
      <c r="D370" t="inlineStr">
        <is>
          <t>P1</t>
        </is>
      </c>
      <c r="E370" t="inlineStr">
        <is>
          <t>Open</t>
        </is>
      </c>
      <c r="F370" t="inlineStr">
        <is>
          <t>pd.md DISPLACEMENT RULE</t>
        </is>
      </c>
      <c r="H370" s="28" t="inlineStr">
        <is>
          <t>GATE</t>
        </is>
      </c>
      <c r="I370" t="inlineStr">
        <is>
          <t>logicalKey on relations</t>
        </is>
      </c>
    </row>
    <row r="371">
      <c r="A371" t="inlineStr">
        <is>
          <t>DOC-VOCAB-1</t>
        </is>
      </c>
      <c r="B371" t="inlineStr">
        <is>
          <t>Reserve 'werkbon' for the clock-entry document; bordereau renamed</t>
        </is>
      </c>
      <c r="C371" t="inlineStr">
        <is>
          <t>Projects · Site docs</t>
        </is>
      </c>
      <c r="D371" t="inlineStr">
        <is>
          <t>P1</t>
        </is>
      </c>
      <c r="E371" t="inlineStr">
        <is>
          <t>Done</t>
        </is>
      </c>
      <c r="F371" t="inlineStr">
        <is>
          <t>coral-site-documents.md</t>
        </is>
      </c>
      <c r="H371" s="26" t="inlineStr">
        <is>
          <t>L4</t>
        </is>
      </c>
      <c r="I371" t="inlineStr">
        <is>
          <t>document vocabulary</t>
        </is>
      </c>
    </row>
    <row r="372">
      <c r="A372" t="inlineStr">
        <is>
          <t>BORD-1</t>
        </is>
      </c>
      <c r="B372" t="inlineStr">
        <is>
          <t>Bordereau print button on the project Tasks tab — no new screen</t>
        </is>
      </c>
      <c r="C372" t="inlineStr">
        <is>
          <t>Projects · Site docs</t>
        </is>
      </c>
      <c r="D372" t="inlineStr">
        <is>
          <t>P2</t>
        </is>
      </c>
      <c r="E372" t="inlineStr">
        <is>
          <t>Open</t>
        </is>
      </c>
      <c r="F372" t="inlineStr">
        <is>
          <t>coral-site-documents.md</t>
        </is>
      </c>
      <c r="H372" s="24" t="inlineStr">
        <is>
          <t>L3</t>
        </is>
      </c>
      <c r="I372" t="inlineStr">
        <is>
          <t>bordereau (view)</t>
        </is>
      </c>
    </row>
    <row r="373">
      <c r="A373" t="inlineStr">
        <is>
          <t>BORD-2</t>
        </is>
      </c>
      <c r="B373" t="inlineStr">
        <is>
          <t>Handover creates draft bestelbon; bordereau stays a view</t>
        </is>
      </c>
      <c r="C373" t="inlineStr">
        <is>
          <t>Projects · Site docs</t>
        </is>
      </c>
      <c r="D373" t="inlineStr">
        <is>
          <t>P2</t>
        </is>
      </c>
      <c r="E373" t="inlineStr">
        <is>
          <t>Open</t>
        </is>
      </c>
      <c r="F373" t="inlineStr">
        <is>
          <t>coral-site-documents.md</t>
        </is>
      </c>
      <c r="H373" s="24" t="inlineStr">
        <is>
          <t>L3</t>
        </is>
      </c>
      <c r="I373" t="inlineStr">
        <is>
          <t>handover</t>
        </is>
      </c>
    </row>
    <row r="374">
      <c r="A374" t="inlineStr">
        <is>
          <t>BORD-3</t>
        </is>
      </c>
      <c r="B374" t="inlineStr">
        <is>
          <t>Bestelbon as a record: number, status, archive-before-send, freeze</t>
        </is>
      </c>
      <c r="C374" t="inlineStr">
        <is>
          <t>Projects · Site docs</t>
        </is>
      </c>
      <c r="D374" t="inlineStr">
        <is>
          <t>P2</t>
        </is>
      </c>
      <c r="E374" t="inlineStr">
        <is>
          <t>Open</t>
        </is>
      </c>
      <c r="F374" t="inlineStr">
        <is>
          <t>coral-site-documents.md</t>
        </is>
      </c>
      <c r="H374" s="23" t="inlineStr">
        <is>
          <t>L1</t>
        </is>
      </c>
      <c r="I374" t="inlineStr">
        <is>
          <t>document engine</t>
        </is>
      </c>
    </row>
    <row r="375">
      <c r="A375" t="inlineStr">
        <is>
          <t>BORD-4</t>
        </is>
      </c>
      <c r="B375" t="inlineStr">
        <is>
          <t>Incoming purchase order: attach, extract number, stamp on invoices</t>
        </is>
      </c>
      <c r="C375" t="inlineStr">
        <is>
          <t>Projects · Site docs</t>
        </is>
      </c>
      <c r="D375" t="inlineStr">
        <is>
          <t>P2</t>
        </is>
      </c>
      <c r="E375" t="inlineStr">
        <is>
          <t>Open</t>
        </is>
      </c>
      <c r="F375" t="inlineStr">
        <is>
          <t>coral-site-documents.md</t>
        </is>
      </c>
      <c r="H375" s="24" t="inlineStr">
        <is>
          <t>L3</t>
        </is>
      </c>
      <c r="I375" t="inlineStr">
        <is>
          <t>incoming PO</t>
        </is>
      </c>
    </row>
    <row r="376">
      <c r="A376" t="inlineStr">
        <is>
          <t>BORD-5</t>
        </is>
      </c>
      <c r="B376" t="inlineStr">
        <is>
          <t>Documenten tab on ProjectDetailView — one list, all record documents</t>
        </is>
      </c>
      <c r="C376" t="inlineStr">
        <is>
          <t>Projects · Site docs</t>
        </is>
      </c>
      <c r="D376" t="inlineStr">
        <is>
          <t>P2</t>
        </is>
      </c>
      <c r="E376" t="inlineStr">
        <is>
          <t>Open</t>
        </is>
      </c>
      <c r="F376" t="inlineStr">
        <is>
          <t>coral-site-documents.md</t>
        </is>
      </c>
      <c r="H376" s="26" t="inlineStr">
        <is>
          <t>L4</t>
        </is>
      </c>
      <c r="I376" t="inlineStr">
        <is>
          <t>project tabs</t>
        </is>
      </c>
    </row>
    <row r="377">
      <c r="A377" t="inlineStr">
        <is>
          <t>WERK-1</t>
        </is>
      </c>
      <c r="B377" t="inlineStr">
        <is>
          <t>Werkbon from clock entry, conditional field-service sections + signature</t>
        </is>
      </c>
      <c r="C377" t="inlineStr">
        <is>
          <t>HR · Timesheets</t>
        </is>
      </c>
      <c r="D377" t="inlineStr">
        <is>
          <t>P2</t>
        </is>
      </c>
      <c r="E377" t="inlineStr">
        <is>
          <t>Open</t>
        </is>
      </c>
      <c r="F377" t="inlineStr">
        <is>
          <t>coral-site-documents.md</t>
        </is>
      </c>
      <c r="H377" s="24" t="inlineStr">
        <is>
          <t>L3</t>
        </is>
      </c>
      <c r="I377" t="inlineStr">
        <is>
          <t>werkbon</t>
        </is>
      </c>
    </row>
    <row r="378">
      <c r="A378" t="inlineStr">
        <is>
          <t>SP-4</t>
        </is>
      </c>
      <c r="B378" t="inlineStr">
        <is>
          <t>bordereau/PO have no UI entry point — never built</t>
        </is>
      </c>
      <c r="C378" t="inlineStr">
        <is>
          <t>Projects · Site docs</t>
        </is>
      </c>
      <c r="D378" t="inlineStr">
        <is>
          <t>P2</t>
        </is>
      </c>
      <c r="E378" t="inlineStr">
        <is>
          <t>Open</t>
        </is>
      </c>
      <c r="F378" t="inlineStr">
        <is>
          <t>coder-directive-staging-pass-2.md</t>
        </is>
      </c>
      <c r="H378" s="26" t="inlineStr">
        <is>
          <t>L4</t>
        </is>
      </c>
      <c r="I378" t="inlineStr">
        <is>
          <t>project tabs</t>
        </is>
      </c>
    </row>
    <row r="379">
      <c r="A379" t="inlineStr">
        <is>
          <t>SP-5</t>
        </is>
      </c>
      <c r="B379" t="inlineStr">
        <is>
          <t>Period picker duplicated outside the export dialog</t>
        </is>
      </c>
      <c r="C379" t="inlineStr">
        <is>
          <t>Finance · Accountant</t>
        </is>
      </c>
      <c r="D379" t="inlineStr">
        <is>
          <t>P2</t>
        </is>
      </c>
      <c r="E379" t="inlineStr">
        <is>
          <t>Done</t>
        </is>
      </c>
      <c r="F379" t="inlineStr">
        <is>
          <t>coder-directive-staging-pass-2.md</t>
        </is>
      </c>
      <c r="H379" s="26" t="inlineStr">
        <is>
          <t>L4</t>
        </is>
      </c>
      <c r="I379" t="inlineStr">
        <is>
          <t>export dialog</t>
        </is>
      </c>
    </row>
    <row r="380">
      <c r="A380" t="inlineStr">
        <is>
          <t>REM-1</t>
        </is>
      </c>
      <c r="B380" t="inlineStr">
        <is>
          <t>prop-task-remind-at as a stored UTC instant + reminded-at idempotency</t>
        </is>
      </c>
      <c r="C380" t="inlineStr">
        <is>
          <t>Tasks · Reminders</t>
        </is>
      </c>
      <c r="D380" t="inlineStr">
        <is>
          <t>P1</t>
        </is>
      </c>
      <c r="E380" t="inlineStr">
        <is>
          <t>Open</t>
        </is>
      </c>
      <c r="F380" t="inlineStr">
        <is>
          <t>coral-task-reminders.md</t>
        </is>
      </c>
      <c r="H380" s="24" t="inlineStr">
        <is>
          <t>L3</t>
        </is>
      </c>
      <c r="I380" t="inlineStr">
        <is>
          <t>task reminders</t>
        </is>
      </c>
    </row>
    <row r="381">
      <c r="A381" t="inlineStr">
        <is>
          <t>REM-2</t>
        </is>
      </c>
      <c r="B381" t="inlineStr">
        <is>
          <t>Rewrite the reminders sweep: two-phase, indexed, rides R5</t>
        </is>
      </c>
      <c r="C381" t="inlineStr">
        <is>
          <t>Tasks · Reminders</t>
        </is>
      </c>
      <c r="D381" t="inlineStr">
        <is>
          <t>P1</t>
        </is>
      </c>
      <c r="E381" t="inlineStr">
        <is>
          <t>Open</t>
        </is>
      </c>
      <c r="F381" t="inlineStr">
        <is>
          <t>coral-task-reminders.md</t>
        </is>
      </c>
      <c r="H381" s="22" t="inlineStr">
        <is>
          <t>L2</t>
        </is>
      </c>
      <c r="I381" t="inlineStr">
        <is>
          <t>reminders</t>
        </is>
      </c>
    </row>
    <row r="382">
      <c r="A382" t="inlineStr">
        <is>
          <t>REM-3</t>
        </is>
      </c>
      <c r="B382" t="inlineStr">
        <is>
          <t>Web Push delivery + in-app notification always</t>
        </is>
      </c>
      <c r="C382" t="inlineStr">
        <is>
          <t>Tasks · Reminders</t>
        </is>
      </c>
      <c r="D382" t="inlineStr">
        <is>
          <t>P1</t>
        </is>
      </c>
      <c r="E382" t="inlineStr">
        <is>
          <t>Open</t>
        </is>
      </c>
      <c r="F382" t="inlineStr">
        <is>
          <t>coral-task-reminders.md</t>
        </is>
      </c>
      <c r="H382" s="27" t="inlineStr">
        <is>
          <t>L0</t>
        </is>
      </c>
      <c r="I382" t="inlineStr">
        <is>
          <t>service worker / push</t>
        </is>
      </c>
    </row>
    <row r="383">
      <c r="A383" t="inlineStr">
        <is>
          <t>REM-4</t>
        </is>
      </c>
      <c r="B383" t="inlineStr">
        <is>
          <t>Reminder UI in the mobile sheet; shows the resolved instant</t>
        </is>
      </c>
      <c r="C383" t="inlineStr">
        <is>
          <t>Tasks · Reminders</t>
        </is>
      </c>
      <c r="D383" t="inlineStr">
        <is>
          <t>P2</t>
        </is>
      </c>
      <c r="E383" t="inlineStr">
        <is>
          <t>Open</t>
        </is>
      </c>
      <c r="F383" t="inlineStr">
        <is>
          <t>coral-task-reminders.md</t>
        </is>
      </c>
      <c r="H383" s="26" t="inlineStr">
        <is>
          <t>L4</t>
        </is>
      </c>
      <c r="I383" t="inlineStr">
        <is>
          <t>m/tasks</t>
        </is>
      </c>
    </row>
    <row r="384">
      <c r="A384" t="inlineStr">
        <is>
          <t>REC-HIST-1</t>
        </is>
      </c>
      <c r="B384" t="inlineStr">
        <is>
          <t>Append-only completion history on recurring tasks (read-only UI)</t>
        </is>
      </c>
      <c r="C384" t="inlineStr">
        <is>
          <t>Tasks · Recurrence</t>
        </is>
      </c>
      <c r="D384" t="inlineStr">
        <is>
          <t>P2</t>
        </is>
      </c>
      <c r="E384" t="inlineStr">
        <is>
          <t>Open</t>
        </is>
      </c>
      <c r="F384" t="inlineStr">
        <is>
          <t>coral-recurrence-history.md</t>
        </is>
      </c>
      <c r="H384" s="24" t="inlineStr">
        <is>
          <t>L3</t>
        </is>
      </c>
      <c r="I384" t="inlineStr">
        <is>
          <t>recurrence history</t>
        </is>
      </c>
    </row>
    <row r="385">
      <c r="A385" t="inlineStr">
        <is>
          <t>REC-ANCHOR-1</t>
        </is>
      </c>
      <c r="B385" t="inlineStr">
        <is>
          <t>Recurrence anchor is mobile-only — expose on desktop</t>
        </is>
      </c>
      <c r="C385" t="inlineStr">
        <is>
          <t>Tasks · Recurrence</t>
        </is>
      </c>
      <c r="D385" t="inlineStr">
        <is>
          <t>P2</t>
        </is>
      </c>
      <c r="E385" t="inlineStr">
        <is>
          <t>Open</t>
        </is>
      </c>
      <c r="F385" t="inlineStr">
        <is>
          <t>coral-recurrence-history.md</t>
        </is>
      </c>
      <c r="H385" s="24" t="inlineStr">
        <is>
          <t>L3</t>
        </is>
      </c>
      <c r="I385" t="inlineStr">
        <is>
          <t>recurrence anchor</t>
        </is>
      </c>
    </row>
    <row r="386">
      <c r="A386" t="inlineStr">
        <is>
          <t>LOC-1</t>
        </is>
      </c>
      <c r="B386" t="inlineStr">
        <is>
          <t>lib/format/date + WEEK_STARTS_ON primitive</t>
        </is>
      </c>
      <c r="C386" t="inlineStr">
        <is>
          <t>i18n · Locale</t>
        </is>
      </c>
      <c r="D386" t="inlineStr">
        <is>
          <t>P1</t>
        </is>
      </c>
      <c r="E386" t="inlineStr">
        <is>
          <t>Done</t>
        </is>
      </c>
      <c r="F386" t="inlineStr">
        <is>
          <t>coral-locale-dates.md</t>
        </is>
      </c>
      <c r="H386" s="27" t="inlineStr">
        <is>
          <t>L0</t>
        </is>
      </c>
      <c r="I386" t="inlineStr">
        <is>
          <t>date formatter</t>
        </is>
      </c>
    </row>
    <row r="387">
      <c r="A387" t="inlineStr">
        <is>
          <t>LOC-2</t>
        </is>
      </c>
      <c r="B387" t="inlineStr">
        <is>
          <t>Migrate 51 toLocaleDateString sites to the formatter; kill en-US</t>
        </is>
      </c>
      <c r="C387" t="inlineStr">
        <is>
          <t>i18n · Locale</t>
        </is>
      </c>
      <c r="D387" t="inlineStr">
        <is>
          <t>P1</t>
        </is>
      </c>
      <c r="E387" t="inlineStr">
        <is>
          <t>Open</t>
        </is>
      </c>
      <c r="F387" t="inlineStr">
        <is>
          <t>coral-locale-dates.md</t>
        </is>
      </c>
      <c r="H387" s="26" t="inlineStr">
        <is>
          <t>L4</t>
        </is>
      </c>
      <c r="I387" t="inlineStr">
        <is>
          <t>date display</t>
        </is>
      </c>
    </row>
    <row r="388">
      <c r="A388" t="inlineStr">
        <is>
          <t>LOC-3</t>
        </is>
      </c>
      <c r="B388" t="inlineStr">
        <is>
          <t>WEEK_STARTS_ON in the scheduling module; check week aggregates</t>
        </is>
      </c>
      <c r="C388" t="inlineStr">
        <is>
          <t>i18n · Locale</t>
        </is>
      </c>
      <c r="D388" t="inlineStr">
        <is>
          <t>P1</t>
        </is>
      </c>
      <c r="E388" t="inlineStr">
        <is>
          <t>Open</t>
        </is>
      </c>
      <c r="F388" t="inlineStr">
        <is>
          <t>coral-locale-dates.md</t>
        </is>
      </c>
      <c r="H388" s="24" t="inlineStr">
        <is>
          <t>L3</t>
        </is>
      </c>
      <c r="I388" t="inlineStr">
        <is>
          <t>time-tracker scheduling</t>
        </is>
      </c>
    </row>
    <row r="389">
      <c r="A389" t="inlineStr">
        <is>
          <t>LOC-4</t>
        </is>
      </c>
      <c r="B389" t="inlineStr">
        <is>
          <t>PDF templates cannot fall back to a machine locale — VERIFIED SAFE</t>
        </is>
      </c>
      <c r="C389" t="inlineStr">
        <is>
          <t>i18n · Locale</t>
        </is>
      </c>
      <c r="D389" t="inlineStr">
        <is>
          <t>P0</t>
        </is>
      </c>
      <c r="E389" t="inlineStr">
        <is>
          <t>Done</t>
        </is>
      </c>
      <c r="F389" t="inlineStr">
        <is>
          <t>coder-run-4.md Phase A</t>
        </is>
      </c>
      <c r="H389" s="23" t="inlineStr">
        <is>
          <t>L1</t>
        </is>
      </c>
      <c r="I389" t="inlineStr">
        <is>
          <t>PDF templates</t>
        </is>
      </c>
    </row>
    <row r="390">
      <c r="A390" t="inlineStr">
        <is>
          <t>FREE-G1</t>
        </is>
      </c>
      <c r="B390" t="inlineStr">
        <is>
          <t>Signup/upgrade provisions the modules it enables (fires on EVERY signup)</t>
        </is>
      </c>
      <c r="C390" t="inlineStr">
        <is>
          <t>Free tier</t>
        </is>
      </c>
      <c r="D390" t="inlineStr">
        <is>
          <t>P0</t>
        </is>
      </c>
      <c r="E390" t="inlineStr">
        <is>
          <t>Open</t>
        </is>
      </c>
      <c r="F390" t="inlineStr">
        <is>
          <t>coral-free-tier-readiness.md</t>
        </is>
      </c>
      <c r="H390" s="28" t="inlineStr">
        <is>
          <t>GATE</t>
        </is>
      </c>
      <c r="I390" t="inlineStr">
        <is>
          <t>provisioning completeness</t>
        </is>
      </c>
    </row>
    <row r="391">
      <c r="A391" t="inlineStr">
        <is>
          <t>FREE-G2</t>
        </is>
      </c>
      <c r="B391" t="inlineStr">
        <is>
          <t>Enforce 5/mo invoice + quote caps on FREE (not implemented at all)</t>
        </is>
      </c>
      <c r="C391" t="inlineStr">
        <is>
          <t>Free tier</t>
        </is>
      </c>
      <c r="D391" t="inlineStr">
        <is>
          <t>P1</t>
        </is>
      </c>
      <c r="E391" t="inlineStr">
        <is>
          <t>Open</t>
        </is>
      </c>
      <c r="F391" t="inlineStr">
        <is>
          <t>coral-free-tier-readiness.md</t>
        </is>
      </c>
      <c r="H391" s="23" t="inlineStr">
        <is>
          <t>L1</t>
        </is>
      </c>
      <c r="I391" t="inlineStr">
        <is>
          <t>plan-limits</t>
        </is>
      </c>
    </row>
    <row r="392">
      <c r="A392" t="inlineStr">
        <is>
          <t>FREE-G3</t>
        </is>
      </c>
      <c r="B392" t="inlineStr">
        <is>
          <t>One entitlement map — route, data door and provisioning disagree</t>
        </is>
      </c>
      <c r="C392" t="inlineStr">
        <is>
          <t>Free tier</t>
        </is>
      </c>
      <c r="D392" t="inlineStr">
        <is>
          <t>P0</t>
        </is>
      </c>
      <c r="E392" t="inlineStr">
        <is>
          <t>Open</t>
        </is>
      </c>
      <c r="F392" t="inlineStr">
        <is>
          <t>coral-free-tier-readiness.md</t>
        </is>
      </c>
      <c r="H392" s="28" t="inlineStr">
        <is>
          <t>MODULE GATE</t>
        </is>
      </c>
      <c r="I392" t="inlineStr">
        <is>
          <t>entitlement map</t>
        </is>
      </c>
    </row>
    <row r="393">
      <c r="A393" t="inlineStr">
        <is>
          <t>FREE-F1</t>
        </is>
      </c>
      <c r="B393" t="inlineStr">
        <is>
          <t>Signup forces a PRO trial; the FREE assignment is dead code</t>
        </is>
      </c>
      <c r="C393" t="inlineStr">
        <is>
          <t>Free tier</t>
        </is>
      </c>
      <c r="D393" t="inlineStr">
        <is>
          <t>P1</t>
        </is>
      </c>
      <c r="E393" t="inlineStr">
        <is>
          <t>Open</t>
        </is>
      </c>
      <c r="F393" t="inlineStr">
        <is>
          <t>coral-free-tier-readiness.md</t>
        </is>
      </c>
      <c r="H393" s="22" t="inlineStr">
        <is>
          <t>L2</t>
        </is>
      </c>
      <c r="I393" t="inlineStr">
        <is>
          <t>signup flow</t>
        </is>
      </c>
    </row>
    <row r="394">
      <c r="A394" t="inlineStr">
        <is>
          <t>FREE-F3</t>
        </is>
      </c>
      <c r="B394" t="inlineStr">
        <is>
          <t>Trial expiry sets INACTIVE and nothing enforces it</t>
        </is>
      </c>
      <c r="C394" t="inlineStr">
        <is>
          <t>Free tier</t>
        </is>
      </c>
      <c r="D394" t="inlineStr">
        <is>
          <t>P1</t>
        </is>
      </c>
      <c r="E394" t="inlineStr">
        <is>
          <t>Open</t>
        </is>
      </c>
      <c r="F394" t="inlineStr">
        <is>
          <t>coral-free-tier-readiness.md</t>
        </is>
      </c>
      <c r="H394" s="23" t="inlineStr">
        <is>
          <t>L1</t>
        </is>
      </c>
      <c r="I394" t="inlineStr">
        <is>
          <t>trial lifecycle</t>
        </is>
      </c>
    </row>
    <row r="395">
      <c r="A395" t="inlineStr">
        <is>
          <t>ENT-1</t>
        </is>
      </c>
      <c r="B395" t="inlineStr">
        <is>
          <t>Module state as a per-tenant state machine with dates, not a boolean</t>
        </is>
      </c>
      <c r="C395" t="inlineStr">
        <is>
          <t>Entitlement</t>
        </is>
      </c>
      <c r="D395" t="inlineStr">
        <is>
          <t>P1</t>
        </is>
      </c>
      <c r="E395" t="inlineStr">
        <is>
          <t>Open</t>
        </is>
      </c>
      <c r="F395" t="inlineStr">
        <is>
          <t>coral-module-entitlement-model.md</t>
        </is>
      </c>
      <c r="H395" s="23" t="inlineStr">
        <is>
          <t>L1</t>
        </is>
      </c>
      <c r="I395" t="inlineStr">
        <is>
          <t>entitlement state</t>
        </is>
      </c>
    </row>
    <row r="396">
      <c r="A396" t="inlineStr">
        <is>
          <t>ENT-2</t>
        </is>
      </c>
      <c r="B396" t="inlineStr">
        <is>
          <t>Guided module enablement ending in a pending request</t>
        </is>
      </c>
      <c r="C396" t="inlineStr">
        <is>
          <t>Entitlement</t>
        </is>
      </c>
      <c r="D396" t="inlineStr">
        <is>
          <t>P2</t>
        </is>
      </c>
      <c r="E396" t="inlineStr">
        <is>
          <t>Open</t>
        </is>
      </c>
      <c r="F396" t="inlineStr">
        <is>
          <t>coral-product-ideas.md</t>
        </is>
      </c>
      <c r="H396" s="26" t="inlineStr">
        <is>
          <t>L4</t>
        </is>
      </c>
      <c r="I396" t="inlineStr">
        <is>
          <t>module enablement</t>
        </is>
      </c>
    </row>
    <row r="397">
      <c r="A397" t="inlineStr">
        <is>
          <t>CLEAN-1</t>
        </is>
      </c>
      <c r="B397" t="inlineStr">
        <is>
          <t>Dead eslint key in next.config.ts — build was not linting</t>
        </is>
      </c>
      <c r="C397" t="inlineStr">
        <is>
          <t>Housekeeping</t>
        </is>
      </c>
      <c r="D397" t="inlineStr">
        <is>
          <t>P1</t>
        </is>
      </c>
      <c r="E397" t="inlineStr">
        <is>
          <t>Done</t>
        </is>
      </c>
      <c r="F397" t="inlineStr">
        <is>
          <t>coral-post-promotion-cleanup.md</t>
        </is>
      </c>
      <c r="H397" s="25" t="inlineStr">
        <is>
          <t>⟂</t>
        </is>
      </c>
      <c r="I397" t="inlineStr">
        <is>
          <t>CI gates</t>
        </is>
      </c>
    </row>
    <row r="398">
      <c r="A398" t="inlineStr">
        <is>
          <t>CLEAN-2</t>
        </is>
      </c>
      <c r="B398" t="inlineStr">
        <is>
          <t>middleware -&gt; proxy rename — fold into R1, never standalone</t>
        </is>
      </c>
      <c r="C398" t="inlineStr">
        <is>
          <t>Housekeeping</t>
        </is>
      </c>
      <c r="D398" t="inlineStr">
        <is>
          <t>P2</t>
        </is>
      </c>
      <c r="E398" t="inlineStr">
        <is>
          <t>Open</t>
        </is>
      </c>
      <c r="F398" t="inlineStr">
        <is>
          <t>coral-post-promotion-cleanup.md</t>
        </is>
      </c>
      <c r="H398" s="28" t="inlineStr">
        <is>
          <t>GATE</t>
        </is>
      </c>
      <c r="I398" t="inlineStr">
        <is>
          <t>middleware</t>
        </is>
      </c>
    </row>
    <row r="399">
      <c r="A399" t="inlineStr">
        <is>
          <t>CLEAN-6</t>
        </is>
      </c>
      <c r="B399" t="inlineStr">
        <is>
          <t>One app-url resolver; 12 hardcoded production fallbacks</t>
        </is>
      </c>
      <c r="C399" t="inlineStr">
        <is>
          <t>Housekeeping</t>
        </is>
      </c>
      <c r="D399" t="inlineStr">
        <is>
          <t>P1</t>
        </is>
      </c>
      <c r="E399" t="inlineStr">
        <is>
          <t>Open</t>
        </is>
      </c>
      <c r="F399" t="inlineStr">
        <is>
          <t>coral-post-promotion-cleanup.md</t>
        </is>
      </c>
      <c r="H399" s="23" t="inlineStr">
        <is>
          <t>L1</t>
        </is>
      </c>
      <c r="I399" t="inlineStr">
        <is>
          <t>app url</t>
        </is>
      </c>
    </row>
    <row r="400">
      <c r="A400" t="inlineStr">
        <is>
          <t>CLEAN-7</t>
        </is>
      </c>
      <c r="B400" t="inlineStr">
        <is>
          <t>ClientInvoiceEngine: optimistic status after server spread</t>
        </is>
      </c>
      <c r="C400" t="inlineStr">
        <is>
          <t>Housekeeping</t>
        </is>
      </c>
      <c r="D400" t="inlineStr">
        <is>
          <t>P2</t>
        </is>
      </c>
      <c r="E400" t="inlineStr">
        <is>
          <t>Open</t>
        </is>
      </c>
      <c r="F400" t="inlineStr">
        <is>
          <t>coral-post-promotion-cleanup.md</t>
        </is>
      </c>
      <c r="H400" s="24" t="inlineStr">
        <is>
          <t>L3</t>
        </is>
      </c>
      <c r="I400" t="inlineStr">
        <is>
          <t>ClientInvoiceEngine</t>
        </is>
      </c>
    </row>
    <row r="401">
      <c r="A401" t="inlineStr">
        <is>
          <t>CLEAN-8</t>
        </is>
      </c>
      <c r="B401" t="inlineStr">
        <is>
          <t>Filter modal value input too narrow to use</t>
        </is>
      </c>
      <c r="C401" t="inlineStr">
        <is>
          <t>Housekeeping</t>
        </is>
      </c>
      <c r="D401" t="inlineStr">
        <is>
          <t>P2</t>
        </is>
      </c>
      <c r="E401" t="inlineStr">
        <is>
          <t>Done</t>
        </is>
      </c>
      <c r="F401" t="inlineStr">
        <is>
          <t>Florin 2026-09-20</t>
        </is>
      </c>
      <c r="H401" s="26" t="inlineStr">
        <is>
          <t>L4</t>
        </is>
      </c>
      <c r="I401" t="inlineStr">
        <is>
          <t>FilterToolbar</t>
        </is>
      </c>
    </row>
    <row r="402">
      <c r="A402" t="inlineStr">
        <is>
          <t>CLEAN-9</t>
        </is>
      </c>
      <c r="B402" t="inlineStr">
        <is>
          <t>Backfill dueDate on 8 sent invoices — they can never go overdue</t>
        </is>
      </c>
      <c r="C402" t="inlineStr">
        <is>
          <t>Finance · Invoices</t>
        </is>
      </c>
      <c r="D402" t="inlineStr">
        <is>
          <t>P1</t>
        </is>
      </c>
      <c r="E402" t="inlineStr">
        <is>
          <t>Open</t>
        </is>
      </c>
      <c r="F402" t="inlineStr">
        <is>
          <t>SP-2 census</t>
        </is>
      </c>
      <c r="H402" s="24" t="inlineStr">
        <is>
          <t>L3</t>
        </is>
      </c>
      <c r="I402" t="inlineStr">
        <is>
          <t>data repair</t>
        </is>
      </c>
    </row>
    <row r="403">
      <c r="A403" t="inlineStr">
        <is>
          <t>SEND-1</t>
        </is>
      </c>
      <c r="B403" t="inlineStr">
        <is>
          <t>Send path conflicted with itself; server owns status+date+receiptUrl</t>
        </is>
      </c>
      <c r="C403" t="inlineStr">
        <is>
          <t>Finance · Invoices</t>
        </is>
      </c>
      <c r="D403" t="inlineStr">
        <is>
          <t>P0</t>
        </is>
      </c>
      <c r="E403" t="inlineStr">
        <is>
          <t>Done</t>
        </is>
      </c>
      <c r="F403" t="inlineStr">
        <is>
          <t>coder-directive-send-conflict.md</t>
        </is>
      </c>
      <c r="H403" s="23" t="inlineStr">
        <is>
          <t>L1</t>
        </is>
      </c>
      <c r="I403" t="inlineStr">
        <is>
          <t>write path</t>
        </is>
      </c>
    </row>
    <row r="404">
      <c r="A404" t="inlineStr">
        <is>
          <t>LOCK-1</t>
        </is>
      </c>
      <c r="B404" t="inlineStr">
        <is>
          <t>Export lock covers blocks, not just properties</t>
        </is>
      </c>
      <c r="C404" t="inlineStr">
        <is>
          <t>Finance · Accountant</t>
        </is>
      </c>
      <c r="D404" t="inlineStr">
        <is>
          <t>P0</t>
        </is>
      </c>
      <c r="E404" t="inlineStr">
        <is>
          <t>Done</t>
        </is>
      </c>
      <c r="F404" t="inlineStr">
        <is>
          <t>coder-directive-export-lock-gap.md</t>
        </is>
      </c>
      <c r="H404" s="28" t="inlineStr">
        <is>
          <t>MODULE GATE</t>
        </is>
      </c>
      <c r="I404" t="inlineStr">
        <is>
          <t>export lock</t>
        </is>
      </c>
    </row>
    <row r="405">
      <c r="A405" t="inlineStr">
        <is>
          <t>LOCK-2</t>
        </is>
      </c>
      <c r="B405" t="inlineStr">
        <is>
          <t>Refusals surface visibly and roll back; no silent retry</t>
        </is>
      </c>
      <c r="C405" t="inlineStr">
        <is>
          <t>Finance · Accountant</t>
        </is>
      </c>
      <c r="D405" t="inlineStr">
        <is>
          <t>P0</t>
        </is>
      </c>
      <c r="E405" t="inlineStr">
        <is>
          <t>Done</t>
        </is>
      </c>
      <c r="F405" t="inlineStr">
        <is>
          <t>coder-directive-export-lock-gap.md</t>
        </is>
      </c>
      <c r="H405" s="23" t="inlineStr">
        <is>
          <t>L1</t>
        </is>
      </c>
      <c r="I405" t="inlineStr">
        <is>
          <t>sync queue</t>
        </is>
      </c>
    </row>
    <row r="406">
      <c r="A406" t="inlineStr">
        <is>
          <t>LOCK-3</t>
        </is>
      </c>
      <c r="B406" t="inlineStr">
        <is>
          <t>Accountant export generated server-side, not from client state</t>
        </is>
      </c>
      <c r="C406" t="inlineStr">
        <is>
          <t>Finance · Accountant</t>
        </is>
      </c>
      <c r="D406" t="inlineStr">
        <is>
          <t>P0</t>
        </is>
      </c>
      <c r="E406" t="inlineStr">
        <is>
          <t>Done</t>
        </is>
      </c>
      <c r="F406" t="inlineStr">
        <is>
          <t>coder-directive-export-lock-gap.md</t>
        </is>
      </c>
      <c r="H406" s="23" t="inlineStr">
        <is>
          <t>L1</t>
        </is>
      </c>
      <c r="I406" t="inlineStr">
        <is>
          <t>document engine</t>
        </is>
      </c>
    </row>
    <row r="407">
      <c r="A407" t="inlineStr">
        <is>
          <t>LOCK-4</t>
        </is>
      </c>
      <c r="B407" t="inlineStr">
        <is>
          <t>CSV stops stamping; respects selection</t>
        </is>
      </c>
      <c r="C407" t="inlineStr">
        <is>
          <t>Finance · Accountant</t>
        </is>
      </c>
      <c r="D407" t="inlineStr">
        <is>
          <t>P0</t>
        </is>
      </c>
      <c r="E407" t="inlineStr">
        <is>
          <t>Done</t>
        </is>
      </c>
      <c r="F407" t="inlineStr">
        <is>
          <t>coder-directive-export-lock-gap.md</t>
        </is>
      </c>
      <c r="H407" s="24" t="inlineStr">
        <is>
          <t>L3</t>
        </is>
      </c>
      <c r="I407" t="inlineStr">
        <is>
          <t>useExportCSV</t>
        </is>
      </c>
    </row>
    <row r="408">
      <c r="A408" t="inlineStr">
        <is>
          <t>LOCK-5</t>
        </is>
      </c>
      <c r="B408" t="inlineStr">
        <is>
          <t>No hardcoded UI copy; no second property-label catalogue</t>
        </is>
      </c>
      <c r="C408" t="inlineStr">
        <is>
          <t>i18n · Locale</t>
        </is>
      </c>
      <c r="D408" t="inlineStr">
        <is>
          <t>P1</t>
        </is>
      </c>
      <c r="E408" t="inlineStr">
        <is>
          <t>Done</t>
        </is>
      </c>
      <c r="F408" t="inlineStr">
        <is>
          <t>coder-directive-lock-i18n.md</t>
        </is>
      </c>
      <c r="H408" s="23" t="inlineStr">
        <is>
          <t>L1</t>
        </is>
      </c>
      <c r="I408" t="inlineStr">
        <is>
          <t>i18n catalogue</t>
        </is>
      </c>
    </row>
    <row r="409">
      <c r="A409" t="inlineStr">
        <is>
          <t>LOCK-6</t>
        </is>
      </c>
      <c r="B409" t="inlineStr">
        <is>
          <t>Owner can run the accountant export; actor audit recorded</t>
        </is>
      </c>
      <c r="C409" t="inlineStr">
        <is>
          <t>Finance · Accountant</t>
        </is>
      </c>
      <c r="D409" t="inlineStr">
        <is>
          <t>P0</t>
        </is>
      </c>
      <c r="E409" t="inlineStr">
        <is>
          <t>Done</t>
        </is>
      </c>
      <c r="F409" t="inlineStr">
        <is>
          <t>coder-directive-export-lock-gap.md</t>
        </is>
      </c>
      <c r="H409" s="28" t="inlineStr">
        <is>
          <t>MODULE GATE</t>
        </is>
      </c>
      <c r="I409" t="inlineStr">
        <is>
          <t>accountant export</t>
        </is>
      </c>
    </row>
    <row r="410">
      <c r="A410" t="inlineStr">
        <is>
          <t>SEL-1</t>
        </is>
      </c>
      <c r="B410" t="inlineStr">
        <is>
          <t>CSV export respects row selection</t>
        </is>
      </c>
      <c r="C410" t="inlineStr">
        <is>
          <t>Record surface (R3)</t>
        </is>
      </c>
      <c r="D410" t="inlineStr">
        <is>
          <t>P0</t>
        </is>
      </c>
      <c r="E410" t="inlineStr">
        <is>
          <t>Done</t>
        </is>
      </c>
      <c r="F410" t="inlineStr">
        <is>
          <t>coder-directive-grid-selection.md</t>
        </is>
      </c>
      <c r="H410" s="24" t="inlineStr">
        <is>
          <t>L3</t>
        </is>
      </c>
      <c r="I410" t="inlineStr">
        <is>
          <t>useExportCSV</t>
        </is>
      </c>
    </row>
    <row r="411">
      <c r="A411" t="inlineStr">
        <is>
          <t>EXPDLG-1</t>
        </is>
      </c>
      <c r="B411" t="inlineStr">
        <is>
          <t>Accountant export settings dialog with server preview counts</t>
        </is>
      </c>
      <c r="C411" t="inlineStr">
        <is>
          <t>Finance · Accountant</t>
        </is>
      </c>
      <c r="D411" t="inlineStr">
        <is>
          <t>P1</t>
        </is>
      </c>
      <c r="E411" t="inlineStr">
        <is>
          <t>Done</t>
        </is>
      </c>
      <c r="F411" t="inlineStr">
        <is>
          <t>coder-directive-export-dialog.md</t>
        </is>
      </c>
      <c r="H411" s="26" t="inlineStr">
        <is>
          <t>L4</t>
        </is>
      </c>
      <c r="I411" t="inlineStr">
        <is>
          <t>export dialog</t>
        </is>
      </c>
    </row>
    <row r="412">
      <c r="A412" t="inlineStr">
        <is>
          <t>SP-1</t>
        </is>
      </c>
      <c r="B412" t="inlineStr">
        <is>
          <t>Export period no longer filters the owner's working grid</t>
        </is>
      </c>
      <c r="C412" t="inlineStr">
        <is>
          <t>Record surface (R3)</t>
        </is>
      </c>
      <c r="D412" t="inlineStr">
        <is>
          <t>P0</t>
        </is>
      </c>
      <c r="E412" t="inlineStr">
        <is>
          <t>Done</t>
        </is>
      </c>
      <c r="F412" t="inlineStr">
        <is>
          <t>coder-directive-staging-pass-2.md</t>
        </is>
      </c>
      <c r="H412" s="24" t="inlineStr">
        <is>
          <t>L3</t>
        </is>
      </c>
      <c r="I412" t="inlineStr">
        <is>
          <t>NotionGrid</t>
        </is>
      </c>
    </row>
    <row r="413">
      <c r="A413" t="inlineStr">
        <is>
          <t>SP-2</t>
        </is>
      </c>
      <c r="B413" t="inlineStr">
        <is>
          <t>invoiceDate + dueDate stamped on send, never overwriting</t>
        </is>
      </c>
      <c r="C413" t="inlineStr">
        <is>
          <t>Finance · Invoices</t>
        </is>
      </c>
      <c r="D413" t="inlineStr">
        <is>
          <t>P0</t>
        </is>
      </c>
      <c r="E413" t="inlineStr">
        <is>
          <t>Done</t>
        </is>
      </c>
      <c r="F413" t="inlineStr">
        <is>
          <t>coder-directive-staging-pass-2.md</t>
        </is>
      </c>
      <c r="H413" s="23" t="inlineStr">
        <is>
          <t>L1</t>
        </is>
      </c>
      <c r="I413" t="inlineStr">
        <is>
          <t>write path</t>
        </is>
      </c>
    </row>
    <row r="414">
      <c r="A414" t="inlineStr">
        <is>
          <t>SP-3</t>
        </is>
      </c>
      <c r="B414" t="inlineStr">
        <is>
          <t>Undated documents named, not just counted</t>
        </is>
      </c>
      <c r="C414" t="inlineStr">
        <is>
          <t>Finance · Accountant</t>
        </is>
      </c>
      <c r="D414" t="inlineStr">
        <is>
          <t>P1</t>
        </is>
      </c>
      <c r="E414" t="inlineStr">
        <is>
          <t>Done</t>
        </is>
      </c>
      <c r="F414" t="inlineStr">
        <is>
          <t>coder-directive-staging-pass-2.md</t>
        </is>
      </c>
      <c r="H414" s="26" t="inlineStr">
        <is>
          <t>L4</t>
        </is>
      </c>
      <c r="I414" t="inlineStr">
        <is>
          <t>export dialog</t>
        </is>
      </c>
    </row>
    <row r="415">
      <c r="A415" t="inlineStr">
        <is>
          <t>PROMOTE-MAIN</t>
        </is>
      </c>
      <c r="B415" t="inlineStr">
        <is>
          <t>main brought current — 114 commits, 2 staging passes</t>
        </is>
      </c>
      <c r="C415" t="inlineStr">
        <is>
          <t>Release</t>
        </is>
      </c>
      <c r="D415" t="inlineStr">
        <is>
          <t>P0</t>
        </is>
      </c>
      <c r="E415" t="inlineStr">
        <is>
          <t>Done</t>
        </is>
      </c>
      <c r="F415" t="inlineStr">
        <is>
          <t>coral-promotion-plan.md</t>
        </is>
      </c>
      <c r="H415" s="25" t="inlineStr">
        <is>
          <t>⟂</t>
        </is>
      </c>
      <c r="I415" t="inlineStr">
        <is>
          <t>release</t>
        </is>
      </c>
    </row>
    <row r="416">
      <c r="A416" t="inlineStr">
        <is>
          <t>PRE-1</t>
        </is>
      </c>
      <c r="B416" t="inlineStr">
        <is>
          <t>Import-boundary gate: no-restricted-imports zones, wired into validate + CI</t>
        </is>
      </c>
      <c r="C416" t="inlineStr">
        <is>
          <t>Architecture · Gates</t>
        </is>
      </c>
      <c r="D416" t="inlineStr">
        <is>
          <t>P0</t>
        </is>
      </c>
      <c r="E416" t="inlineStr">
        <is>
          <t>Open</t>
        </is>
      </c>
      <c r="F416" t="inlineStr">
        <is>
          <t>coral-kernel-prerequisites.md</t>
        </is>
      </c>
      <c r="H416" s="25" t="inlineStr">
        <is>
          <t>⟂</t>
        </is>
      </c>
      <c r="I416" t="inlineStr">
        <is>
          <t>CI gates</t>
        </is>
      </c>
    </row>
    <row r="417">
      <c r="A417" t="inlineStr">
        <is>
          <t>PRE-1b</t>
        </is>
      </c>
      <c r="B417" t="inlineStr">
        <is>
          <t>time-tracker removed from eslint globalIgnores</t>
        </is>
      </c>
      <c r="C417" t="inlineStr">
        <is>
          <t>Architecture · Gates</t>
        </is>
      </c>
      <c r="D417" t="inlineStr">
        <is>
          <t>P1</t>
        </is>
      </c>
      <c r="E417" t="inlineStr">
        <is>
          <t>Done</t>
        </is>
      </c>
      <c r="F417" t="inlineStr">
        <is>
          <t>coral-kernel-prerequisites.md</t>
        </is>
      </c>
      <c r="H417" s="25" t="inlineStr">
        <is>
          <t>⟂</t>
        </is>
      </c>
      <c r="I417" t="inlineStr">
        <is>
          <t>CI gates</t>
        </is>
      </c>
    </row>
    <row r="418">
      <c r="A418" t="inlineStr">
        <is>
          <t>PRE-1c</t>
        </is>
      </c>
      <c r="B418" t="inlineStr">
        <is>
          <t>Prove the gate: add a violation, watch CI go red, remove it</t>
        </is>
      </c>
      <c r="C418" t="inlineStr">
        <is>
          <t>Architecture · Gates</t>
        </is>
      </c>
      <c r="D418" t="inlineStr">
        <is>
          <t>P0</t>
        </is>
      </c>
      <c r="E418" t="inlineStr">
        <is>
          <t>Open</t>
        </is>
      </c>
      <c r="F418" t="inlineStr">
        <is>
          <t>coral-kernel-prerequisites.md</t>
        </is>
      </c>
      <c r="H418" s="25" t="inlineStr">
        <is>
          <t>⟂</t>
        </is>
      </c>
      <c r="I418" t="inlineStr">
        <is>
          <t>CI gates</t>
        </is>
      </c>
    </row>
    <row r="419">
      <c r="A419" t="inlineStr">
        <is>
          <t>PRE-1d</t>
        </is>
      </c>
      <c r="B419" t="inlineStr">
        <is>
          <t>Gate ratchet: enable the 2 commented rules as errors with named exceptions</t>
        </is>
      </c>
      <c r="C419" t="inlineStr">
        <is>
          <t>Architecture · Gates</t>
        </is>
      </c>
      <c r="D419" t="inlineStr">
        <is>
          <t>P0</t>
        </is>
      </c>
      <c r="E419" t="inlineStr">
        <is>
          <t>Open</t>
        </is>
      </c>
      <c r="F419" t="inlineStr">
        <is>
          <t>coder-directive-gate-ratchet.md</t>
        </is>
      </c>
      <c r="H419" s="25" t="inlineStr">
        <is>
          <t>⟂</t>
        </is>
      </c>
      <c r="I419" t="inlineStr">
        <is>
          <t>CI gates</t>
        </is>
      </c>
    </row>
    <row r="420">
      <c r="A420" t="inlineStr">
        <is>
          <t>PRE-2</t>
        </is>
      </c>
      <c r="B420" t="inlineStr">
        <is>
          <t>Decide the kernel/core directory convention — FLORIN</t>
        </is>
      </c>
      <c r="C420" t="inlineStr">
        <is>
          <t>Architecture · Gates</t>
        </is>
      </c>
      <c r="D420" t="inlineStr">
        <is>
          <t>P1</t>
        </is>
      </c>
      <c r="E420" t="inlineStr">
        <is>
          <t>Open</t>
        </is>
      </c>
      <c r="F420" t="inlineStr">
        <is>
          <t>coral-kernel-prerequisites.md</t>
        </is>
      </c>
      <c r="H420" s="25" t="inlineStr">
        <is>
          <t>⟂</t>
        </is>
      </c>
      <c r="I420" t="inlineStr">
        <is>
          <t>directory layout</t>
        </is>
      </c>
    </row>
    <row r="421">
      <c r="A421" t="inlineStr">
        <is>
          <t>PRE-3</t>
        </is>
      </c>
      <c r="B421" t="inlineStr">
        <is>
          <t>Tree cleanup: 134 duplicate/cruft files</t>
        </is>
      </c>
      <c r="C421" t="inlineStr">
        <is>
          <t>Housekeeping</t>
        </is>
      </c>
      <c r="D421" t="inlineStr">
        <is>
          <t>P1</t>
        </is>
      </c>
      <c r="E421" t="inlineStr">
        <is>
          <t>Done</t>
        </is>
      </c>
      <c r="F421" t="inlineStr">
        <is>
          <t>coral-tree-cleanup.md</t>
        </is>
      </c>
      <c r="H421" s="25" t="inlineStr">
        <is>
          <t>⟂</t>
        </is>
      </c>
      <c r="I421" t="inlineStr">
        <is>
          <t>housekeeping</t>
        </is>
      </c>
    </row>
    <row r="422">
      <c r="A422" t="inlineStr">
        <is>
          <t>PRE-4</t>
        </is>
      </c>
      <c r="B422" t="inlineStr">
        <is>
          <t>tsconfig exclude for numbered duplicates</t>
        </is>
      </c>
      <c r="C422" t="inlineStr">
        <is>
          <t>Housekeeping</t>
        </is>
      </c>
      <c r="D422" t="inlineStr">
        <is>
          <t>P1</t>
        </is>
      </c>
      <c r="E422" t="inlineStr">
        <is>
          <t>Done</t>
        </is>
      </c>
      <c r="F422" t="inlineStr">
        <is>
          <t>coral-tree-cleanup.md</t>
        </is>
      </c>
      <c r="H422" s="25" t="inlineStr">
        <is>
          <t>⟂</t>
        </is>
      </c>
      <c r="I422" t="inlineStr">
        <is>
          <t>CI gates</t>
        </is>
      </c>
    </row>
    <row r="423">
      <c r="A423" t="inlineStr">
        <is>
          <t>TSC-0</t>
        </is>
      </c>
      <c r="B423" t="inlineStr">
        <is>
          <t>Interface designed — 33 direct / 18 transitive / 2 undeclared FK / 2 global</t>
        </is>
      </c>
      <c r="C423" t="inlineStr">
        <is>
          <t>Tenancy (R1)</t>
        </is>
      </c>
      <c r="D423" t="inlineStr">
        <is>
          <t>P0</t>
        </is>
      </c>
      <c r="E423" t="inlineStr">
        <is>
          <t>Done</t>
        </is>
      </c>
      <c r="F423" t="inlineStr">
        <is>
          <t>coral-tsc-design.md</t>
        </is>
      </c>
      <c r="H423" s="28" t="inlineStr">
        <is>
          <t>GATE</t>
        </is>
      </c>
      <c r="I423" t="inlineStr">
        <is>
          <t>TenantScopedClient</t>
        </is>
      </c>
    </row>
    <row r="424">
      <c r="A424" t="inlineStr">
        <is>
          <t>TSC-2</t>
        </is>
      </c>
      <c r="B424" t="inlineStr">
        <is>
          <t>Scoped client exposes no $queryRaw / $executeRaw</t>
        </is>
      </c>
      <c r="C424" t="inlineStr">
        <is>
          <t>Tenancy (R1)</t>
        </is>
      </c>
      <c r="D424" t="inlineStr">
        <is>
          <t>P0</t>
        </is>
      </c>
      <c r="E424" t="inlineStr">
        <is>
          <t>Open</t>
        </is>
      </c>
      <c r="F424" t="inlineStr">
        <is>
          <t>coral-tsc-design.md</t>
        </is>
      </c>
      <c r="H424" s="28" t="inlineStr">
        <is>
          <t>GATE</t>
        </is>
      </c>
      <c r="I424" t="inlineStr">
        <is>
          <t>TenantScopedClient</t>
        </is>
      </c>
    </row>
    <row r="425">
      <c r="A425" t="inlineStr">
        <is>
          <t>TSC-3</t>
        </is>
      </c>
      <c r="B425" t="inlineStr">
        <is>
          <t>systemScope(tenantId, reason) for cron/webhooks — same object, named door</t>
        </is>
      </c>
      <c r="C425" t="inlineStr">
        <is>
          <t>Tenancy (R1)</t>
        </is>
      </c>
      <c r="D425" t="inlineStr">
        <is>
          <t>P1</t>
        </is>
      </c>
      <c r="E425" t="inlineStr">
        <is>
          <t>Open</t>
        </is>
      </c>
      <c r="F425" t="inlineStr">
        <is>
          <t>coral-tsc-design.md</t>
        </is>
      </c>
      <c r="H425" s="28" t="inlineStr">
        <is>
          <t>GATE</t>
        </is>
      </c>
      <c r="I425" t="inlineStr">
        <is>
          <t>system writers</t>
        </is>
      </c>
    </row>
    <row r="426">
      <c r="A426" t="inlineStr">
        <is>
          <t>DI-0</t>
        </is>
      </c>
      <c r="B426" t="inlineStr">
        <is>
          <t>DECISION: road C adopted — required scope param, no default-parameter DI</t>
        </is>
      </c>
      <c r="C426" t="inlineStr">
        <is>
          <t>Architecture · Gates</t>
        </is>
      </c>
      <c r="D426" t="inlineStr">
        <is>
          <t>P0</t>
        </is>
      </c>
      <c r="E426" t="inlineStr">
        <is>
          <t>Open</t>
        </is>
      </c>
      <c r="F426" t="inlineStr">
        <is>
          <t>coral-decision-dependency-injection.md</t>
        </is>
      </c>
      <c r="H426" s="25" t="inlineStr">
        <is>
          <t>⟂</t>
        </is>
      </c>
      <c r="I426" t="inlineStr">
        <is>
          <t>architecture decisions</t>
        </is>
      </c>
    </row>
    <row r="427">
      <c r="A427" t="inlineStr">
        <is>
          <t>DI-1</t>
        </is>
      </c>
      <c r="B427" t="inlineStr">
        <is>
          <t>notify() takes a required scope; tenantId leaves the params entirely</t>
        </is>
      </c>
      <c r="C427" t="inlineStr">
        <is>
          <t>Platform · Notifications</t>
        </is>
      </c>
      <c r="D427" t="inlineStr">
        <is>
          <t>P0</t>
        </is>
      </c>
      <c r="E427" t="inlineStr">
        <is>
          <t>Done</t>
        </is>
      </c>
      <c r="F427" t="inlineStr">
        <is>
          <t>coder-directive-di-notif.md</t>
        </is>
      </c>
      <c r="H427" s="28" t="inlineStr">
        <is>
          <t>GATE</t>
        </is>
      </c>
      <c r="I427" t="inlineStr">
        <is>
          <t>notify scope seam</t>
        </is>
      </c>
    </row>
    <row r="428">
      <c r="A428" t="inlineStr">
        <is>
          <t>DI-2</t>
        </is>
      </c>
      <c r="B428" t="inlineStr">
        <is>
          <t>New L1 code takes its data client as a required parameter — standing rule</t>
        </is>
      </c>
      <c r="C428" t="inlineStr">
        <is>
          <t>Architecture · Gates</t>
        </is>
      </c>
      <c r="D428" t="inlineStr">
        <is>
          <t>P0</t>
        </is>
      </c>
      <c r="E428" t="inlineStr">
        <is>
          <t>Open</t>
        </is>
      </c>
      <c r="F428" t="inlineStr">
        <is>
          <t>coral-decision-dependency-injection.md</t>
        </is>
      </c>
      <c r="H428" s="23" t="inlineStr">
        <is>
          <t>L1</t>
        </is>
      </c>
      <c r="I428" t="inlineStr">
        <is>
          <t>DI convention</t>
        </is>
      </c>
    </row>
    <row r="429">
      <c r="A429" t="inlineStr">
        <is>
          <t>DI-3</t>
        </is>
      </c>
      <c r="B429" t="inlineStr">
        <is>
          <t>Track the prisma import count — 121 today (eslint GRANDFATHERED allowlist length), must fall</t>
        </is>
      </c>
      <c r="C429" t="inlineStr">
        <is>
          <t>Architecture · Gates</t>
        </is>
      </c>
      <c r="D429" t="inlineStr">
        <is>
          <t>P1</t>
        </is>
      </c>
      <c r="E429" t="inlineStr">
        <is>
          <t>Open</t>
        </is>
      </c>
      <c r="F429" t="inlineStr">
        <is>
          <t>coral-decision-dependency-injection.md</t>
        </is>
      </c>
      <c r="G429" t="inlineStr">
        <is>
          <t>Metric is the allowlist length in eslint.config.mjs, maintained by the build. Do NOT grep: the old figure of 70 counted single-quoted imports only; 51 more use double quotes.</t>
        </is>
      </c>
      <c r="H429" s="25" t="inlineStr">
        <is>
          <t>⟂</t>
        </is>
      </c>
      <c r="I429" t="inlineStr">
        <is>
          <t>architecture decisions</t>
        </is>
      </c>
    </row>
    <row r="430">
      <c r="A430" t="inlineStr">
        <is>
          <t>NOTIF-1</t>
        </is>
      </c>
      <c r="B430" t="inlineStr">
        <is>
          <t>notify() + in-app record + delivery outcome log on the existing table</t>
        </is>
      </c>
      <c r="C430" t="inlineStr">
        <is>
          <t>Platform · Notifications</t>
        </is>
      </c>
      <c r="D430" t="inlineStr">
        <is>
          <t>P0</t>
        </is>
      </c>
      <c r="E430" t="inlineStr">
        <is>
          <t>Done</t>
        </is>
      </c>
      <c r="F430" t="inlineStr">
        <is>
          <t>coral-notifications.md</t>
        </is>
      </c>
      <c r="H430" s="23" t="inlineStr">
        <is>
          <t>L1</t>
        </is>
      </c>
      <c r="I430" t="inlineStr">
        <is>
          <t>notify service</t>
        </is>
      </c>
    </row>
    <row r="431">
      <c r="A431" t="inlineStr">
        <is>
          <t>NOTIF-2</t>
        </is>
      </c>
      <c r="B431" t="inlineStr">
        <is>
          <t>Topic taxonomy namespaced and validated; no free-text type</t>
        </is>
      </c>
      <c r="C431" t="inlineStr">
        <is>
          <t>Platform · Notifications</t>
        </is>
      </c>
      <c r="D431" t="inlineStr">
        <is>
          <t>P0</t>
        </is>
      </c>
      <c r="E431" t="inlineStr">
        <is>
          <t>Done</t>
        </is>
      </c>
      <c r="F431" t="inlineStr">
        <is>
          <t>coral-notifications.md</t>
        </is>
      </c>
      <c r="H431" s="23" t="inlineStr">
        <is>
          <t>L1</t>
        </is>
      </c>
      <c r="I431" t="inlineStr">
        <is>
          <t>notify service</t>
        </is>
      </c>
    </row>
    <row r="432">
      <c r="A432" t="inlineStr">
        <is>
          <t>NOTIF-3</t>
        </is>
      </c>
      <c r="B432" t="inlineStr">
        <is>
          <t>deliveryStatus default 'Dispatched' for legacy rows</t>
        </is>
      </c>
      <c r="C432" t="inlineStr">
        <is>
          <t>Platform · Notifications</t>
        </is>
      </c>
      <c r="D432" t="inlineStr">
        <is>
          <t>P1</t>
        </is>
      </c>
      <c r="E432" t="inlineStr">
        <is>
          <t>Done</t>
        </is>
      </c>
      <c r="F432" t="inlineStr">
        <is>
          <t>Florin 2026-09-21</t>
        </is>
      </c>
      <c r="H432" s="23" t="inlineStr">
        <is>
          <t>L1</t>
        </is>
      </c>
      <c r="I432" t="inlineStr">
        <is>
          <t>notify service</t>
        </is>
      </c>
    </row>
    <row r="433">
      <c r="A433" t="inlineStr">
        <is>
          <t>NOTIF-4</t>
        </is>
      </c>
      <c r="B433" t="inlineStr">
        <is>
          <t>Push transport: web-push + VAPID; sw-workhub already receives</t>
        </is>
      </c>
      <c r="C433" t="inlineStr">
        <is>
          <t>Platform · Notifications</t>
        </is>
      </c>
      <c r="D433" t="inlineStr">
        <is>
          <t>P1</t>
        </is>
      </c>
      <c r="E433" t="inlineStr">
        <is>
          <t>Open</t>
        </is>
      </c>
      <c r="F433" t="inlineStr">
        <is>
          <t>coral-notifications.md</t>
        </is>
      </c>
      <c r="H433" s="27" t="inlineStr">
        <is>
          <t>L0</t>
        </is>
      </c>
      <c r="I433" t="inlineStr">
        <is>
          <t>notify transports</t>
        </is>
      </c>
    </row>
    <row r="434">
      <c r="A434" t="inlineStr">
        <is>
          <t>NOTIF-5</t>
        </is>
      </c>
      <c r="B434" t="inlineStr">
        <is>
          <t>PushSubscription registry — a seraph book fact, fails closed</t>
        </is>
      </c>
      <c r="C434" t="inlineStr">
        <is>
          <t>Platform · Notifications</t>
        </is>
      </c>
      <c r="D434" t="inlineStr">
        <is>
          <t>P1</t>
        </is>
      </c>
      <c r="E434" t="inlineStr">
        <is>
          <t>Open</t>
        </is>
      </c>
      <c r="F434" t="inlineStr">
        <is>
          <t>coral-notifications.md</t>
        </is>
      </c>
      <c r="H434" s="28" t="inlineStr">
        <is>
          <t>GATE</t>
        </is>
      </c>
      <c r="I434" t="inlineStr">
        <is>
          <t>subscription registry</t>
        </is>
      </c>
    </row>
    <row r="435">
      <c r="A435" t="inlineStr">
        <is>
          <t>NOTIF-6</t>
        </is>
      </c>
      <c r="B435" t="inlineStr">
        <is>
          <t>Topic routing server-side: each subscription declares accepted topics</t>
        </is>
      </c>
      <c r="C435" t="inlineStr">
        <is>
          <t>Platform · Notifications</t>
        </is>
      </c>
      <c r="D435" t="inlineStr">
        <is>
          <t>P1</t>
        </is>
      </c>
      <c r="E435" t="inlineStr">
        <is>
          <t>Open</t>
        </is>
      </c>
      <c r="F435" t="inlineStr">
        <is>
          <t>coral-notifications.md</t>
        </is>
      </c>
      <c r="H435" s="28" t="inlineStr">
        <is>
          <t>GATE</t>
        </is>
      </c>
      <c r="I435" t="inlineStr">
        <is>
          <t>subscription registry</t>
        </is>
      </c>
    </row>
    <row r="436">
      <c r="A436" t="inlineStr">
        <is>
          <t>NOTIF-7</t>
        </is>
      </c>
      <c r="B436" t="inlineStr">
        <is>
          <t>Permission prompt at first reminder, never first launch; denial stated</t>
        </is>
      </c>
      <c r="C436" t="inlineStr">
        <is>
          <t>Platform · Notifications</t>
        </is>
      </c>
      <c r="D436" t="inlineStr">
        <is>
          <t>P2</t>
        </is>
      </c>
      <c r="E436" t="inlineStr">
        <is>
          <t>Open</t>
        </is>
      </c>
      <c r="F436" t="inlineStr">
        <is>
          <t>coral-notifications.md</t>
        </is>
      </c>
      <c r="H436" s="26" t="inlineStr">
        <is>
          <t>L4</t>
        </is>
      </c>
      <c r="I436" t="inlineStr">
        <is>
          <t>notification UX</t>
        </is>
      </c>
    </row>
    <row r="437">
      <c r="A437" t="inlineStr">
        <is>
          <t>NOTIF-8</t>
        </is>
      </c>
      <c r="B437" t="inlineStr">
        <is>
          <t>Email + SMS as transports of the same service</t>
        </is>
      </c>
      <c r="C437" t="inlineStr">
        <is>
          <t>Platform · Notifications</t>
        </is>
      </c>
      <c r="D437" t="inlineStr">
        <is>
          <t>P2</t>
        </is>
      </c>
      <c r="E437" t="inlineStr">
        <is>
          <t>Open</t>
        </is>
      </c>
      <c r="F437" t="inlineStr">
        <is>
          <t>coral-notifications.md</t>
        </is>
      </c>
      <c r="H437" s="27" t="inlineStr">
        <is>
          <t>L0</t>
        </is>
      </c>
      <c r="I437" t="inlineStr">
        <is>
          <t>notify transports</t>
        </is>
      </c>
    </row>
    <row r="438">
      <c r="A438" t="inlineStr">
        <is>
          <t>BLOB-7</t>
        </is>
      </c>
      <c r="B438" t="inlineStr">
        <is>
          <t>storage.put cannot overwrite — every document replace is broken</t>
        </is>
      </c>
      <c r="C438" t="inlineStr">
        <is>
          <t>Storage / Blob</t>
        </is>
      </c>
      <c r="D438" t="inlineStr">
        <is>
          <t>P0</t>
        </is>
      </c>
      <c r="E438" t="inlineStr">
        <is>
          <t>Done</t>
        </is>
      </c>
      <c r="F438" t="inlineStr">
        <is>
          <t>coder-directive-blob-overwrite.md</t>
        </is>
      </c>
      <c r="H438" s="27" t="inlineStr">
        <is>
          <t>L0</t>
        </is>
      </c>
      <c r="I438" t="inlineStr">
        <is>
          <t>storage</t>
        </is>
      </c>
    </row>
    <row r="439">
      <c r="A439" t="inlineStr">
        <is>
          <t>BLOB-7b</t>
        </is>
      </c>
      <c r="B439" t="inlineStr">
        <is>
          <t>Archive paths pass overwrite:false explicitly; uploadFileAction passes true</t>
        </is>
      </c>
      <c r="C439" t="inlineStr">
        <is>
          <t>Storage / Blob</t>
        </is>
      </c>
      <c r="D439" t="inlineStr">
        <is>
          <t>P0</t>
        </is>
      </c>
      <c r="E439" t="inlineStr">
        <is>
          <t>Done</t>
        </is>
      </c>
      <c r="F439" t="inlineStr">
        <is>
          <t>coder-directive-blob-overwrite.md</t>
        </is>
      </c>
      <c r="H439" s="23" t="inlineStr">
        <is>
          <t>L1</t>
        </is>
      </c>
      <c r="I439" t="inlineStr">
        <is>
          <t>document engine</t>
        </is>
      </c>
    </row>
    <row r="440">
      <c r="A440" t="inlineStr">
        <is>
          <t>BLOB-7c</t>
        </is>
      </c>
      <c r="B440" t="inlineStr">
        <is>
          <t>Check all uploadFileAction callers handle success:false</t>
        </is>
      </c>
      <c r="C440" t="inlineStr">
        <is>
          <t>Storage / Blob</t>
        </is>
      </c>
      <c r="D440" t="inlineStr">
        <is>
          <t>P1</t>
        </is>
      </c>
      <c r="E440" t="inlineStr">
        <is>
          <t>Open</t>
        </is>
      </c>
      <c r="F440" t="inlineStr">
        <is>
          <t>coder-directive-blob-overwrite.md</t>
        </is>
      </c>
      <c r="H440" s="24" t="inlineStr">
        <is>
          <t>L3</t>
        </is>
      </c>
      <c r="I440" t="inlineStr">
        <is>
          <t>upload callers</t>
        </is>
      </c>
    </row>
    <row r="441">
      <c r="A441" t="inlineStr">
        <is>
          <t>KERN-1</t>
        </is>
      </c>
      <c r="B441" t="inlineStr">
        <is>
          <t>resolveDocumentKey decodes; one parse shared with the files route</t>
        </is>
      </c>
      <c r="C441" t="inlineStr">
        <is>
          <t>Storage / Blob</t>
        </is>
      </c>
      <c r="D441" t="inlineStr">
        <is>
          <t>P0</t>
        </is>
      </c>
      <c r="E441" t="inlineStr">
        <is>
          <t>Done</t>
        </is>
      </c>
      <c r="F441" t="inlineStr">
        <is>
          <t>coder-directive-kernel-pass.md</t>
        </is>
      </c>
      <c r="H441" s="27" t="inlineStr">
        <is>
          <t>L0</t>
        </is>
      </c>
      <c r="I441" t="inlineStr">
        <is>
          <t>storage</t>
        </is>
      </c>
    </row>
    <row r="442">
      <c r="A442" t="inlineStr">
        <is>
          <t>KERN-2</t>
        </is>
      </c>
      <c r="B442" t="inlineStr">
        <is>
          <t>MODAL-HAZE: centre dialogs without a fractional transform</t>
        </is>
      </c>
      <c r="C442" t="inlineStr">
        <is>
          <t>Engine · UI</t>
        </is>
      </c>
      <c r="D442" t="inlineStr">
        <is>
          <t>P1</t>
        </is>
      </c>
      <c r="E442" t="inlineStr">
        <is>
          <t>Done</t>
        </is>
      </c>
      <c r="F442" t="inlineStr">
        <is>
          <t>coder-directive-kernel-pass.md</t>
        </is>
      </c>
      <c r="H442" s="27" t="inlineStr">
        <is>
          <t>L0</t>
        </is>
      </c>
      <c r="I442" t="inlineStr">
        <is>
          <t>interaction</t>
        </is>
      </c>
    </row>
    <row r="443">
      <c r="A443" t="inlineStr">
        <is>
          <t>KERN-3</t>
        </is>
      </c>
      <c r="B443" t="inlineStr">
        <is>
          <t>mintDatabaseId + delete specificId — both browser-creation paths dead</t>
        </is>
      </c>
      <c r="C443" t="inlineStr">
        <is>
          <t>Custom databases</t>
        </is>
      </c>
      <c r="D443" t="inlineStr">
        <is>
          <t>P0</t>
        </is>
      </c>
      <c r="E443" t="inlineStr">
        <is>
          <t>Done</t>
        </is>
      </c>
      <c r="F443" t="inlineStr">
        <is>
          <t>coder-directive-kernel-pass.md</t>
        </is>
      </c>
      <c r="H443" s="27" t="inlineStr">
        <is>
          <t>L0</t>
        </is>
      </c>
      <c r="I443" t="inlineStr">
        <is>
          <t>mintDatabaseId</t>
        </is>
      </c>
    </row>
    <row r="444">
      <c r="A444" t="inlineStr">
        <is>
          <t>KERN-3b</t>
        </is>
      </c>
      <c r="B444" t="inlineStr">
        <is>
          <t>Docstring corrected — minting still runs in the browser via store.ts</t>
        </is>
      </c>
      <c r="C444" t="inlineStr">
        <is>
          <t>Custom databases</t>
        </is>
      </c>
      <c r="D444" t="inlineStr">
        <is>
          <t>P1</t>
        </is>
      </c>
      <c r="E444" t="inlineStr">
        <is>
          <t>Done</t>
        </is>
      </c>
      <c r="F444" t="inlineStr">
        <is>
          <t>coder-directive-kernel-pass.md</t>
        </is>
      </c>
      <c r="H444" s="27" t="inlineStr">
        <is>
          <t>L0</t>
        </is>
      </c>
      <c r="I444" t="inlineStr">
        <is>
          <t>mintDatabaseId</t>
        </is>
      </c>
    </row>
    <row r="445">
      <c r="A445" t="inlineStr">
        <is>
          <t>KERN-3c</t>
        </is>
      </c>
      <c r="B445" t="inlineStr">
        <is>
          <t>Move minting behind a server action — the real completion of KERN-3</t>
        </is>
      </c>
      <c r="C445" t="inlineStr">
        <is>
          <t>Custom databases</t>
        </is>
      </c>
      <c r="D445" t="inlineStr">
        <is>
          <t>P1</t>
        </is>
      </c>
      <c r="E445" t="inlineStr">
        <is>
          <t>Open</t>
        </is>
      </c>
      <c r="F445" t="inlineStr">
        <is>
          <t>coder-directive-kernel-pass.md</t>
        </is>
      </c>
      <c r="H445" s="23" t="inlineStr">
        <is>
          <t>L1</t>
        </is>
      </c>
      <c r="I445" t="inlineStr">
        <is>
          <t>provisioning capability</t>
        </is>
      </c>
    </row>
    <row r="446">
      <c r="A446" t="inlineStr">
        <is>
          <t>SESS-1</t>
        </is>
      </c>
      <c r="B446" t="inlineStr">
        <is>
          <t>Inactivity gate keyed on REACH, not on installed-PWA; server-established</t>
        </is>
      </c>
      <c r="C446" t="inlineStr">
        <is>
          <t>Impersonation</t>
        </is>
      </c>
      <c r="D446" t="inlineStr">
        <is>
          <t>P2</t>
        </is>
      </c>
      <c r="E446" t="inlineStr">
        <is>
          <t>Open</t>
        </is>
      </c>
      <c r="F446" t="inlineStr">
        <is>
          <t>coral-notifications.md</t>
        </is>
      </c>
      <c r="H446" s="28" t="inlineStr">
        <is>
          <t>GATE</t>
        </is>
      </c>
      <c r="I446" t="inlineStr">
        <is>
          <t>session lifetime</t>
        </is>
      </c>
    </row>
    <row r="447">
      <c r="A447" t="inlineStr">
        <is>
          <t>DATA-DRIVE-1</t>
        </is>
      </c>
      <c r="B447" t="inlineStr">
        <is>
          <t>One expense holds a Google Drive URL in receiptUrl — re-upload before dating</t>
        </is>
      </c>
      <c r="C447" t="inlineStr">
        <is>
          <t>Finance · Purchase invoices</t>
        </is>
      </c>
      <c r="D447" t="inlineStr">
        <is>
          <t>P1</t>
        </is>
      </c>
      <c r="E447" t="inlineStr">
        <is>
          <t>Open</t>
        </is>
      </c>
      <c r="F447" t="inlineStr">
        <is>
          <t>KERN-1 census</t>
        </is>
      </c>
      <c r="H447" s="24" t="inlineStr">
        <is>
          <t>L3</t>
        </is>
      </c>
      <c r="I447" t="inlineStr">
        <is>
          <t>data repair</t>
        </is>
      </c>
    </row>
    <row r="448">
      <c r="A448" t="inlineStr">
        <is>
          <t>JOURNAL-PROV-1</t>
        </is>
      </c>
      <c r="B448" t="inlineStr">
        <is>
          <t>Delete client-side journal DB creation; honest 'not provisioned' state</t>
        </is>
      </c>
      <c r="C448" t="inlineStr">
        <is>
          <t>Projects · Journal</t>
        </is>
      </c>
      <c r="D448" t="inlineStr">
        <is>
          <t>P1</t>
        </is>
      </c>
      <c r="E448" t="inlineStr">
        <is>
          <t>Done</t>
        </is>
      </c>
      <c r="F448" t="inlineStr">
        <is>
          <t>coral-journal-decomposition.md</t>
        </is>
      </c>
      <c r="H448" s="22" t="inlineStr">
        <is>
          <t>L2</t>
        </is>
      </c>
      <c r="I448" t="inlineStr">
        <is>
          <t>journal module</t>
        </is>
      </c>
    </row>
    <row r="449">
      <c r="A449" t="inlineStr">
        <is>
          <t>JOURNAL-PROV-2</t>
        </is>
      </c>
      <c r="B449" t="inlineStr">
        <is>
          <t>journal GENERAL_DB_ID resolved through the book</t>
        </is>
      </c>
      <c r="C449" t="inlineStr">
        <is>
          <t>Projects · Journal</t>
        </is>
      </c>
      <c r="D449" t="inlineStr">
        <is>
          <t>P1</t>
        </is>
      </c>
      <c r="E449" t="inlineStr">
        <is>
          <t>Done</t>
        </is>
      </c>
      <c r="F449" t="inlineStr">
        <is>
          <t>coral-journal-decomposition.md</t>
        </is>
      </c>
      <c r="H449" s="28" t="inlineStr">
        <is>
          <t>GATE</t>
        </is>
      </c>
      <c r="I449" t="inlineStr">
        <is>
          <t>unresolved reads</t>
        </is>
      </c>
    </row>
    <row r="450">
      <c r="A450" t="inlineStr">
        <is>
          <t>JOURNAL-PROV-3</t>
        </is>
      </c>
      <c r="B450" t="inlineStr">
        <is>
          <t>Provision db-journal-general server-side (rides CUSTOM-2)</t>
        </is>
      </c>
      <c r="C450" t="inlineStr">
        <is>
          <t>Projects · Journal</t>
        </is>
      </c>
      <c r="D450" t="inlineStr">
        <is>
          <t>P2</t>
        </is>
      </c>
      <c r="E450" t="inlineStr">
        <is>
          <t>Open</t>
        </is>
      </c>
      <c r="F450" t="inlineStr">
        <is>
          <t>coral-journal-decomposition.md</t>
        </is>
      </c>
      <c r="H450" s="23" t="inlineStr">
        <is>
          <t>L1</t>
        </is>
      </c>
      <c r="I450" t="inlineStr">
        <is>
          <t>provisioning capability</t>
        </is>
      </c>
    </row>
    <row r="451">
      <c r="A451" t="inlineStr">
        <is>
          <t>AUDIT-UNRESOLVED</t>
        </is>
      </c>
      <c r="B451" t="inlineStr">
        <is>
          <t>Sweep for unresolved bare db-* reads beside resolved siblings; journal:786 + :99 fail-open</t>
        </is>
      </c>
      <c r="C451" t="inlineStr">
        <is>
          <t>Tenancy (R1)</t>
        </is>
      </c>
      <c r="D451" t="inlineStr">
        <is>
          <t>P1</t>
        </is>
      </c>
      <c r="E451" t="inlineStr">
        <is>
          <t>Open</t>
        </is>
      </c>
      <c r="F451" t="inlineStr">
        <is>
          <t>coder-directive-gate-ratchet.md</t>
        </is>
      </c>
      <c r="H451" s="28" t="inlineStr">
        <is>
          <t>GATE</t>
        </is>
      </c>
      <c r="I451" t="inlineStr">
        <is>
          <t>unresolved reads</t>
        </is>
      </c>
    </row>
    <row r="452">
      <c r="A452" t="inlineStr">
        <is>
          <t>SCROLL-2</t>
        </is>
      </c>
      <c r="B452" t="inlineStr">
        <is>
          <t>ProjectGallery + admin/Modal adopt useScrollLock</t>
        </is>
      </c>
      <c r="C452" t="inlineStr">
        <is>
          <t>Engine · UI</t>
        </is>
      </c>
      <c r="D452" t="inlineStr">
        <is>
          <t>P2</t>
        </is>
      </c>
      <c r="E452" t="inlineStr">
        <is>
          <t>Done</t>
        </is>
      </c>
      <c r="F452" t="inlineStr">
        <is>
          <t>pd.md DISPLACEMENT RULE</t>
        </is>
      </c>
      <c r="H452" s="27" t="inlineStr">
        <is>
          <t>L0</t>
        </is>
      </c>
      <c r="I452" t="inlineStr">
        <is>
          <t>interaction</t>
        </is>
      </c>
    </row>
    <row r="453">
      <c r="A453" t="inlineStr">
        <is>
          <t>DISPLACE-1</t>
        </is>
      </c>
      <c r="B453" t="inlineStr">
        <is>
          <t>Every kernel/core item reports a displacement count</t>
        </is>
      </c>
      <c r="C453" t="inlineStr">
        <is>
          <t>Architecture · Gates</t>
        </is>
      </c>
      <c r="D453" t="inlineStr">
        <is>
          <t>P1</t>
        </is>
      </c>
      <c r="E453" t="inlineStr">
        <is>
          <t>Open</t>
        </is>
      </c>
      <c r="F453" t="inlineStr">
        <is>
          <t>pd.md DISPLACEMENT RULE</t>
        </is>
      </c>
      <c r="H453" s="25" t="inlineStr">
        <is>
          <t>⟂</t>
        </is>
      </c>
      <c r="I453" t="inlineStr">
        <is>
          <t>CI gates</t>
        </is>
      </c>
    </row>
    <row r="454">
      <c r="A454" t="inlineStr">
        <is>
          <t>DYNDB-DEAD-BTN</t>
        </is>
      </c>
      <c r="B454" t="inlineStr">
        <is>
          <t>+ Add Database button removed completely</t>
        </is>
      </c>
      <c r="C454" t="inlineStr">
        <is>
          <t>Custom databases</t>
        </is>
      </c>
      <c r="D454" t="inlineStr">
        <is>
          <t>P1</t>
        </is>
      </c>
      <c r="E454" t="inlineStr">
        <is>
          <t>Done</t>
        </is>
      </c>
      <c r="F454" t="inlineStr">
        <is>
          <t>Florin 2026-09-21</t>
        </is>
      </c>
      <c r="H454" s="26" t="inlineStr">
        <is>
          <t>L4</t>
        </is>
      </c>
      <c r="I454" t="inlineStr">
        <is>
          <t>dynamic-db screens</t>
        </is>
      </c>
    </row>
    <row r="455">
      <c r="A455" t="inlineStr">
        <is>
          <t>TSC-4a</t>
        </is>
      </c>
      <c r="B455" t="inlineStr">
        <is>
          <t>Cross-tenant READ: GET /api/hr/shift-tasks|shift-attachments with no shiftId returns all tenants</t>
        </is>
      </c>
      <c r="C455" t="inlineStr">
        <is>
          <t>HR · Schedule</t>
        </is>
      </c>
      <c r="D455" t="inlineStr">
        <is>
          <t>P0</t>
        </is>
      </c>
      <c r="E455" t="inlineStr">
        <is>
          <t>Done (code)</t>
        </is>
      </c>
      <c r="F455" t="inlineStr">
        <is>
          <t>coder-directive-tsc4-shift-relations.md</t>
        </is>
      </c>
      <c r="G455" t="inlineStr">
        <is>
          <t>Reachable by hand, not by UI (all 6 call sites pass shiftId). Cause: missing @relation makes where:{shift:{tenantId}} inexpressible. | Shipped in TSC-4-NOW: no schema change, no migration, no census. Hand to coder immediately.</t>
        </is>
      </c>
      <c r="H455" t="inlineStr">
        <is>
          <t>L1 Core</t>
        </is>
      </c>
      <c r="I455" t="inlineStr">
        <is>
          <t>Tenant gate</t>
        </is>
      </c>
    </row>
    <row r="456">
      <c r="A456" t="inlineStr">
        <is>
          <t>TSC-4b</t>
        </is>
      </c>
      <c r="B456" t="inlineStr">
        <is>
          <t>Cross-tenant WRITE: POST shift-tasks/shift-attachments never verifies parent shift</t>
        </is>
      </c>
      <c r="C456" t="inlineStr">
        <is>
          <t>HR · Schedule</t>
        </is>
      </c>
      <c r="D456" t="inlineStr">
        <is>
          <t>P0</t>
        </is>
      </c>
      <c r="E456" t="inlineStr">
        <is>
          <t>Done (code)</t>
        </is>
      </c>
      <c r="F456" t="inlineStr">
        <is>
          <t>coder-directive-tsc4-shift-relations.md</t>
        </is>
      </c>
      <c r="G456" t="inlineStr">
        <is>
          <t>PATCH and DELETE verify; POST does not. Defect shape #1 — three doors, two check. | Shipped in TSC-4-NOW: no schema change, no migration, no census. Hand to coder immediately.</t>
        </is>
      </c>
      <c r="H456" t="inlineStr">
        <is>
          <t>L1 Core</t>
        </is>
      </c>
      <c r="I456" t="inlineStr">
        <is>
          <t>Tenant gate</t>
        </is>
      </c>
    </row>
    <row r="457">
      <c r="A457" t="inlineStr">
        <is>
          <t>TSC-4c</t>
        </is>
      </c>
      <c r="B457" t="inlineStr">
        <is>
          <t>Fail-open guard: if (existing.shiftId) wraps the PATCH/DELETE parent check</t>
        </is>
      </c>
      <c r="C457" t="inlineStr">
        <is>
          <t>HR · Schedule</t>
        </is>
      </c>
      <c r="D457" t="inlineStr">
        <is>
          <t>P2</t>
        </is>
      </c>
      <c r="E457" t="inlineStr">
        <is>
          <t>Done (code)</t>
        </is>
      </c>
      <c r="F457" t="inlineStr">
        <is>
          <t>coder-directive-tsc4-shift-relations.md</t>
        </is>
      </c>
      <c r="G457" t="inlineStr">
        <is>
          <t>Absence treated as permission. Dies with R1-2 shape. | Shipped in TSC-4-NOW: no schema change, no migration, no census. Hand to coder immediately.</t>
        </is>
      </c>
      <c r="H457" t="inlineStr">
        <is>
          <t>L1 Core</t>
        </is>
      </c>
      <c r="I457" t="inlineStr">
        <is>
          <t>Tenant gate</t>
        </is>
      </c>
    </row>
    <row r="458">
      <c r="A458" t="inlineStr">
        <is>
          <t>BLOB-8</t>
        </is>
      </c>
      <c r="B458" t="inlineStr">
        <is>
          <t>Shift attachment blobs orphaned in Vercel Blob when a shift cascades (PRE-EXISTING)</t>
        </is>
      </c>
      <c r="C458" t="inlineStr">
        <is>
          <t>HR · Schedule</t>
        </is>
      </c>
      <c r="D458" t="inlineStr">
        <is>
          <t>P2</t>
        </is>
      </c>
      <c r="E458" t="inlineStr">
        <is>
          <t>Open</t>
        </is>
      </c>
      <c r="F458" t="inlineStr">
        <is>
          <t>coder-directive-tsc4-shift-relations.md</t>
        </is>
      </c>
      <c r="G458" t="inlineStr">
        <is>
          <t>CORRECTION 2026-09-24: NOT created by TSC-4. The FK with ON DELETE CASCADE already existed on both production and staging from the db-push era; schema.prisma simply did not declare it. This behaviour has been live all along and is unrelated to TSC-4.</t>
        </is>
      </c>
      <c r="H458" t="inlineStr">
        <is>
          <t>L0 Kernel</t>
        </is>
      </c>
      <c r="I458" t="inlineStr">
        <is>
          <t>Storage</t>
        </is>
      </c>
    </row>
    <row r="459">
      <c r="A459" t="inlineStr">
        <is>
          <t>PROJ-0</t>
        </is>
      </c>
      <c r="B459" t="inlineStr">
        <is>
          <t>DECIDED (Florin 2026-09-24): ONE projects database. All workforce-side links point at the project page.</t>
        </is>
      </c>
      <c r="C459" t="inlineStr">
        <is>
          <t>Projects</t>
        </is>
      </c>
      <c r="D459" t="inlineStr">
        <is>
          <t>P0</t>
        </is>
      </c>
      <c r="E459" t="inlineStr">
        <is>
          <t>Decided — execution open</t>
        </is>
      </c>
      <c r="F459" t="inlineStr">
        <is>
          <t>coral-decision-one-project.md</t>
        </is>
      </c>
      <c r="G459" t="inlineStr">
        <is>
          <t>Florin's decision, not the coder's. Blocks PROJ-1..7: every cockpit aggregate joins on an undeclared projectId. Options A/B/C in the spec.</t>
        </is>
      </c>
      <c r="H459" t="inlineStr">
        <is>
          <t>L2 Module</t>
        </is>
      </c>
      <c r="I459" t="inlineStr">
        <is>
          <t>Projects</t>
        </is>
      </c>
    </row>
    <row r="460">
      <c r="A460" t="inlineStr">
        <is>
          <t>PROJ-0a</t>
        </is>
      </c>
      <c r="B460" t="inlineStr">
        <is>
          <t>Ten projectId columns declare no @relation (only CMS_ProjectImage does)</t>
        </is>
      </c>
      <c r="C460" t="inlineStr">
        <is>
          <t>Projects</t>
        </is>
      </c>
      <c r="D460" t="inlineStr">
        <is>
          <t>P0</t>
        </is>
      </c>
      <c r="E460" t="inlineStr">
        <is>
          <t>Open</t>
        </is>
      </c>
      <c r="F460" t="inlineStr">
        <is>
          <t>coral-project-module.md</t>
        </is>
      </c>
      <c r="G460" t="inlineStr">
        <is>
          <t>TSC-4 Class-C shape at ten sites. Makes where:{project:{tenantId}} inexpressible — the gate must improvise.</t>
        </is>
      </c>
      <c r="H460" t="inlineStr">
        <is>
          <t>L1 Core</t>
        </is>
      </c>
      <c r="I460" t="inlineStr">
        <is>
          <t>Tenant gate</t>
        </is>
      </c>
    </row>
    <row r="461">
      <c r="A461" t="inlineStr">
        <is>
          <t>PROJ-0b</t>
        </is>
      </c>
      <c r="B461" t="inlineStr">
        <is>
          <t>The [ERP] name prefix carries the GlobalPage&lt;-&gt;InternalProject join</t>
        </is>
      </c>
      <c r="C461" t="inlineStr">
        <is>
          <t>Projects</t>
        </is>
      </c>
      <c r="D461" t="inlineStr">
        <is>
          <t>P1</t>
        </is>
      </c>
      <c r="E461" t="inlineStr">
        <is>
          <t>Open</t>
        </is>
      </c>
      <c r="F461" t="inlineStr">
        <is>
          <t>coral-project-module.md</t>
        </is>
      </c>
      <c r="G461" t="inlineStr">
        <is>
          <t>Written useScheduledShifts.ts:119, stripped route.ts:353. Defect shape #1: two representations reconciled by a substring.</t>
        </is>
      </c>
      <c r="H461" t="inlineStr">
        <is>
          <t>L2 Module</t>
        </is>
      </c>
      <c r="I461" t="inlineStr">
        <is>
          <t>Projects</t>
        </is>
      </c>
    </row>
    <row r="462">
      <c r="A462" t="inlineStr">
        <is>
          <t>PROJ-0c</t>
        </is>
      </c>
      <c r="B462" t="inlineStr">
        <is>
          <t>locked['projects'] || 'db-1' must FAIL CLOSED — now a correctness precondition</t>
        </is>
      </c>
      <c r="C462" t="inlineStr">
        <is>
          <t>Projects</t>
        </is>
      </c>
      <c r="D462" t="inlineStr">
        <is>
          <t>P0</t>
        </is>
      </c>
      <c r="E462" t="inlineStr">
        <is>
          <t>Open</t>
        </is>
      </c>
      <c r="F462" t="inlineStr">
        <is>
          <t>coral-decision-one-project.md</t>
        </is>
      </c>
      <c r="G462" t="inlineStr">
        <is>
          <t>Raised P2-&gt;P0 by the one-project decision: a fail-open default now writes project links into the WRONG database, and for a 2nd tenant db-1 is not theirs.</t>
        </is>
      </c>
      <c r="H462" t="inlineStr">
        <is>
          <t>L1 Core</t>
        </is>
      </c>
      <c r="I462" t="inlineStr">
        <is>
          <t>Resolution</t>
        </is>
      </c>
    </row>
    <row r="463">
      <c r="A463" t="inlineStr">
        <is>
          <t>PROJ-0d</t>
        </is>
      </c>
      <c r="B463" t="inlineStr">
        <is>
          <t>Quote acceptance creates GlobalPage + InternalProject with the SAME id (id pun)</t>
        </is>
      </c>
      <c r="C463" t="inlineStr">
        <is>
          <t>Projects</t>
        </is>
      </c>
      <c r="D463" t="inlineStr">
        <is>
          <t>P0</t>
        </is>
      </c>
      <c r="E463" t="inlineStr">
        <is>
          <t>Open</t>
        </is>
      </c>
      <c r="F463" t="inlineStr">
        <is>
          <t>coral-project-module.md</t>
        </is>
      </c>
      <c r="G463" t="inlineStr">
        <is>
          <t>quote-service.ts:52 &amp; 86. Undeclared, unenforced join. Source comment: 'Use same ID for consistency if possible, or link them' — an undecided decision left in code.</t>
        </is>
      </c>
      <c r="H463" t="inlineStr">
        <is>
          <t>L2 Module</t>
        </is>
      </c>
      <c r="I463" t="inlineStr">
        <is>
          <t>Projects</t>
        </is>
      </c>
    </row>
    <row r="464">
      <c r="A464" t="inlineStr">
        <is>
          <t>PROJ-0e</t>
        </is>
      </c>
      <c r="B464" t="inlineStr">
        <is>
          <t>HrProject has no ERP writer — it is the time-tracker's private project list</t>
        </is>
      </c>
      <c r="C464" t="inlineStr">
        <is>
          <t>Projects</t>
        </is>
      </c>
      <c r="D464" t="inlineStr">
        <is>
          <t>P1</t>
        </is>
      </c>
      <c r="E464" t="inlineStr">
        <is>
          <t>Open</t>
        </is>
      </c>
      <c r="F464" t="inlineStr">
        <is>
          <t>coral-project-module.md</t>
        </is>
      </c>
      <c r="G464" t="inlineStr">
        <is>
          <t>Only written via generic 'projects'-&gt;hrProject from useProjects.ts:40 / useScheduledShifts.ts:261. A fourth project population.</t>
        </is>
      </c>
      <c r="H464" t="inlineStr">
        <is>
          <t>L2 Module</t>
        </is>
      </c>
      <c r="I464" t="inlineStr">
        <is>
          <t>Projects</t>
        </is>
      </c>
    </row>
    <row r="465">
      <c r="A465" t="inlineStr">
        <is>
          <t>PROJ-0f</t>
        </is>
      </c>
      <c r="B465" t="inlineStr">
        <is>
          <t>Shift project name: client resolves from merged list, server queries hrProject only</t>
        </is>
      </c>
      <c r="C465" t="inlineStr">
        <is>
          <t>Projects</t>
        </is>
      </c>
      <c r="D465" t="inlineStr">
        <is>
          <t>P1</t>
        </is>
      </c>
      <c r="E465" t="inlineStr">
        <is>
          <t>Open</t>
        </is>
      </c>
      <c r="F465" t="inlineStr">
        <is>
          <t>coral-project-module.md</t>
        </is>
      </c>
      <c r="G465" t="inlineStr">
        <is>
          <t>route.ts:345, timesheet-export:103, timesheet-reports:125 all hrProject-only -&gt; ERP-born shifts export with NO project name. Two resolvers, one question.</t>
        </is>
      </c>
      <c r="H465" t="inlineStr">
        <is>
          <t>L2 Module</t>
        </is>
      </c>
      <c r="I465" t="inlineStr">
        <is>
          <t>Projects</t>
        </is>
      </c>
    </row>
    <row r="466">
      <c r="A466" t="inlineStr">
        <is>
          <t>PROJ-0g</t>
        </is>
      </c>
      <c r="B466" t="inlineStr">
        <is>
          <t>CENSUS: project populations, id-pun integrity, what ScheduledShift.projectId points at</t>
        </is>
      </c>
      <c r="C466" t="inlineStr">
        <is>
          <t>Projects</t>
        </is>
      </c>
      <c r="D466" t="inlineStr">
        <is>
          <t>P0</t>
        </is>
      </c>
      <c r="E466" t="inlineStr">
        <is>
          <t>Open</t>
        </is>
      </c>
      <c r="F466" t="inlineStr">
        <is>
          <t>coral-project-module.md</t>
        </is>
      </c>
      <c r="G466" t="inlineStr">
        <is>
          <t>Florin, production, read-only. 3 queries in the spec. Query 3 decides the option. Do not estimate PROJ-0 before these numbers exist.</t>
        </is>
      </c>
      <c r="H466" t="inlineStr">
        <is>
          <t>L2 Module</t>
        </is>
      </c>
      <c r="I466" t="inlineStr">
        <is>
          <t>Projects</t>
        </is>
      </c>
    </row>
    <row r="467">
      <c r="A467" t="inlineStr">
        <is>
          <t>HRA-1</t>
        </is>
      </c>
      <c r="B467" t="inlineStr">
        <is>
          <t>Cross-tenant READ: clock-entry inherits projectId from an unverified shift (route.ts:464)</t>
        </is>
      </c>
      <c r="C467" t="inlineStr">
        <is>
          <t>HR · Schedule</t>
        </is>
      </c>
      <c r="D467" t="inlineStr">
        <is>
          <t>P0</t>
        </is>
      </c>
      <c r="E467" t="inlineStr">
        <is>
          <t>Done</t>
        </is>
      </c>
      <c r="F467" t="inlineStr">
        <is>
          <t>coder-directive-hra-automations.md</t>
        </is>
      </c>
      <c r="G467" t="inlineStr">
        <is>
          <t>Another tenant's project id persisted into your data and into timesheet reports. | Verified against repo 451d7cf 2026-09-24: updateMany{id,tenantId} with count===0 surfaced as warning; linkage dropped not entry refused; 4 TODO(R1-4); eslint 0 errors; 176/176.</t>
        </is>
      </c>
      <c r="H467" t="inlineStr">
        <is>
          <t>L1 Core</t>
        </is>
      </c>
      <c r="I467" t="inlineStr">
        <is>
          <t>Tenant gate</t>
        </is>
      </c>
    </row>
    <row r="468">
      <c r="A468" t="inlineStr">
        <is>
          <t>HRA-2</t>
        </is>
      </c>
      <c r="B468" t="inlineStr">
        <is>
          <t>Cross-tenant WRITE: clock-in flips another tenant's shift to in-progress (route.ts:484)</t>
        </is>
      </c>
      <c r="C468" t="inlineStr">
        <is>
          <t>HR · Schedule</t>
        </is>
      </c>
      <c r="D468" t="inlineStr">
        <is>
          <t>P0</t>
        </is>
      </c>
      <c r="E468" t="inlineStr">
        <is>
          <t>Done</t>
        </is>
      </c>
      <c r="F468" t="inlineStr">
        <is>
          <t>coder-directive-hra-automations.md</t>
        </is>
      </c>
      <c r="G468" t="inlineStr">
        <is>
          <t>clock-entries gets tenantId injected but data.shiftId is caller-supplied and unverified. | Verified against repo 451d7cf 2026-09-24: updateMany{id,tenantId} with count===0 surfaced as warning; linkage dropped not entry refused; 4 TODO(R1-4); eslint 0 errors; 176/176.</t>
        </is>
      </c>
      <c r="H468" t="inlineStr">
        <is>
          <t>L1 Core</t>
        </is>
      </c>
      <c r="I468" t="inlineStr">
        <is>
          <t>Tenant gate</t>
        </is>
      </c>
    </row>
    <row r="469">
      <c r="A469" t="inlineStr">
        <is>
          <t>HRA-3</t>
        </is>
      </c>
      <c r="B469" t="inlineStr">
        <is>
          <t>Cross-tenant WRITE: clock-out flips another tenant's shift to completed (route.ts:676)</t>
        </is>
      </c>
      <c r="C469" t="inlineStr">
        <is>
          <t>HR · Schedule</t>
        </is>
      </c>
      <c r="D469" t="inlineStr">
        <is>
          <t>P0</t>
        </is>
      </c>
      <c r="E469" t="inlineStr">
        <is>
          <t>Done</t>
        </is>
      </c>
      <c r="F469" t="inlineStr">
        <is>
          <t>coder-directive-hra-automations.md</t>
        </is>
      </c>
      <c r="G469" t="inlineStr">
        <is>
          <t>Same as TSC-5b on the clock-out automation. | Verified against repo 451d7cf 2026-09-24: updateMany{id,tenantId} with count===0 surfaced as warning; linkage dropped not entry refused; 4 TODO(R1-4); eslint 0 errors; 176/176.</t>
        </is>
      </c>
      <c r="H469" t="inlineStr">
        <is>
          <t>L1 Core</t>
        </is>
      </c>
      <c r="I469" t="inlineStr">
        <is>
          <t>Tenant gate</t>
        </is>
      </c>
    </row>
    <row r="470">
      <c r="A470" t="inlineStr">
        <is>
          <t>HRA-4</t>
        </is>
      </c>
      <c r="B470" t="inlineStr">
        <is>
          <t>Four HR automations swallow failures in bare catch blocks</t>
        </is>
      </c>
      <c r="C470" t="inlineStr">
        <is>
          <t>HR · Schedule</t>
        </is>
      </c>
      <c r="D470" t="inlineStr">
        <is>
          <t>P1</t>
        </is>
      </c>
      <c r="E470" t="inlineStr">
        <is>
          <t>Done</t>
        </is>
      </c>
      <c r="F470" t="inlineStr">
        <is>
          <t>coder-directive-hra-automations.md</t>
        </is>
      </c>
      <c r="G470" t="inlineStr">
        <is>
          <t>Same shape as store.ts:545. A scoped client's refusal would be hidden. Must surface as a non-fatal warning. | Verified against repo 451d7cf 2026-09-24: updateMany{id,tenantId} with count===0 surfaced as warning; linkage dropped not entry refused; 4 TODO(R1-4); eslint 0 errors; 176/176.</t>
        </is>
      </c>
      <c r="H470" t="inlineStr">
        <is>
          <t>L1 Core</t>
        </is>
      </c>
      <c r="I470" t="inlineStr">
        <is>
          <t>Refusals</t>
        </is>
      </c>
    </row>
    <row r="471">
      <c r="A471" t="inlineStr">
        <is>
          <t>TSC-9a</t>
        </is>
      </c>
      <c r="B471" t="inlineStr">
        <is>
          <t>lib/data/scope-rules.ts — pure classification table, all 55 models, no prisma import</t>
        </is>
      </c>
      <c r="C471" t="inlineStr">
        <is>
          <t>Tenancy (R1)</t>
        </is>
      </c>
      <c r="D471" t="inlineStr">
        <is>
          <t>P0</t>
        </is>
      </c>
      <c r="E471" t="inlineStr">
        <is>
          <t>Done</t>
        </is>
      </c>
      <c r="F471" t="inlineStr">
        <is>
          <t>coder-directive-tsc9-isolation-test.md</t>
        </is>
      </c>
      <c r="G471" t="inlineStr">
        <is>
          <t>Lands NOW with scopeWhere throwing NOT_IMPLEMENTED. Census: 55 models / 33 direct / 20 via / 2 platform. | Verified at 256becb: 33/20/2=55, all 20 'via' through-names independently re-checked against schema.prisma, zero prisma import, ratchet proven twice.</t>
        </is>
      </c>
      <c r="H471" t="inlineStr">
        <is>
          <t>L1 Core</t>
        </is>
      </c>
      <c r="I471" t="inlineStr">
        <is>
          <t>Tenant gate</t>
        </is>
      </c>
    </row>
    <row r="472">
      <c r="A472" t="inlineStr">
        <is>
          <t>TSC-9b</t>
        </is>
      </c>
      <c r="B472" t="inlineStr">
        <is>
          <t>Exhaustiveness assertion: every Prisma model must carry a scope rule</t>
        </is>
      </c>
      <c r="C472" t="inlineStr">
        <is>
          <t>Tenancy (R1)</t>
        </is>
      </c>
      <c r="D472" t="inlineStr">
        <is>
          <t>P0</t>
        </is>
      </c>
      <c r="E472" t="inlineStr">
        <is>
          <t>Done</t>
        </is>
      </c>
      <c r="F472" t="inlineStr">
        <is>
          <t>coder-directive-tsc9-isolation-test.md</t>
        </is>
      </c>
      <c r="G472" t="inlineStr">
        <is>
          <t>The ratchet one layer down — a new model fails the suite until its tenancy is decided at design time. | Verified at 256becb: 33/20/2=55, all 20 'via' through-names independently re-checked against schema.prisma, zero prisma import, ratchet proven twice.</t>
        </is>
      </c>
      <c r="H472" t="inlineStr">
        <is>
          <t>L1 Core</t>
        </is>
      </c>
      <c r="I472" t="inlineStr">
        <is>
          <t>Tenant gate</t>
        </is>
      </c>
    </row>
    <row r="473">
      <c r="A473" t="inlineStr">
        <is>
          <t>PROJ-0h</t>
        </is>
      </c>
      <c r="B473" t="inlineStr">
        <is>
          <t>Retire HrProject: remove the scheduler's own project CRUD and the merged dropdown</t>
        </is>
      </c>
      <c r="C473" t="inlineStr">
        <is>
          <t>Projects</t>
        </is>
      </c>
      <c r="D473" t="inlineStr">
        <is>
          <t>P1</t>
        </is>
      </c>
      <c r="E473" t="inlineStr">
        <is>
          <t>Open</t>
        </is>
      </c>
      <c r="F473" t="inlineStr">
        <is>
          <t>coral-decision-one-project.md</t>
        </is>
      </c>
      <c r="G473" t="inlineStr">
        <is>
          <t>useProjects.ts:40, useScheduledShifts.ts:261/119, route.ts:353. Dead means gone (D5 precedent).</t>
        </is>
      </c>
      <c r="H473" t="inlineStr">
        <is>
          <t>L2 Module</t>
        </is>
      </c>
      <c r="I473" t="inlineStr">
        <is>
          <t>Projects</t>
        </is>
      </c>
    </row>
    <row r="474">
      <c r="A474" t="inlineStr">
        <is>
          <t>PROJ-0i</t>
        </is>
      </c>
      <c r="B474" t="inlineStr">
        <is>
          <t>D-A: enforce 'is a project page' at write time — NOT expressible as a FK</t>
        </is>
      </c>
      <c r="C474" t="inlineStr">
        <is>
          <t>Projects</t>
        </is>
      </c>
      <c r="D474" t="inlineStr">
        <is>
          <t>P0</t>
        </is>
      </c>
      <c r="E474" t="inlineStr">
        <is>
          <t>Open</t>
        </is>
      </c>
      <c r="F474" t="inlineStr">
        <is>
          <t>coral-decision-one-project.md</t>
        </is>
      </c>
      <c r="G474" t="inlineStr">
        <is>
          <t>GlobalPage is polymorphic. Verify databaseId == tenant's projects db. Belongs in R1-4/scope-rules, written once, not per call site.</t>
        </is>
      </c>
      <c r="H474" t="inlineStr">
        <is>
          <t>L1 Core</t>
        </is>
      </c>
      <c r="I474" t="inlineStr">
        <is>
          <t>Tenant gate</t>
        </is>
      </c>
    </row>
    <row r="475">
      <c r="A475" t="inlineStr">
        <is>
          <t>PROJ-0j</t>
        </is>
      </c>
      <c r="B475" t="inlineStr">
        <is>
          <t>D-B DECIDED: onDelete SetNull — the project does not own the hours</t>
        </is>
      </c>
      <c r="C475" t="inlineStr">
        <is>
          <t>Projects</t>
        </is>
      </c>
      <c r="D475" t="inlineStr">
        <is>
          <t>P0</t>
        </is>
      </c>
      <c r="E475" t="inlineStr">
        <is>
          <t>Decided</t>
        </is>
      </c>
      <c r="F475" t="inlineStr">
        <is>
          <t>coral-decision-one-project.md</t>
        </is>
      </c>
      <c r="G475" t="inlineStr">
        <is>
          <t>Florin 2026-09-24: 'project does NOT OWN them, is just deeply integrated.' Overrides Planner's Restrict lean — Restrict lets the child govern the parent's lifecycle. P&amp;L protection moves to an app-level prompt + Unassigned hours report.</t>
        </is>
      </c>
      <c r="H475" t="inlineStr">
        <is>
          <t>L2 Module</t>
        </is>
      </c>
      <c r="I475" t="inlineStr">
        <is>
          <t>Projects</t>
        </is>
      </c>
    </row>
    <row r="476">
      <c r="A476" t="inlineStr">
        <is>
          <t>PROJ-0k</t>
        </is>
      </c>
      <c r="B476" t="inlineStr">
        <is>
          <t>D-C: manual HrProject reconciliation — NO WORK REQUIRED</t>
        </is>
      </c>
      <c r="C476" t="inlineStr">
        <is>
          <t>Projects</t>
        </is>
      </c>
      <c r="D476" t="inlineStr">
        <is>
          <t>P0</t>
        </is>
      </c>
      <c r="E476" t="inlineStr">
        <is>
          <t>Done — empty</t>
        </is>
      </c>
      <c r="F476" t="inlineStr">
        <is>
          <t>coral-decision-one-project.md</t>
        </is>
      </c>
      <c r="G476" t="inlineStr">
        <is>
          <t>Census query 3 (prod+staging): 13 shifts with projectId, ALL pointing at GlobalPage in db-1. Zero HrProject, zero dangling. HrProject deletes with nothing to map.</t>
        </is>
      </c>
      <c r="H476" t="inlineStr">
        <is>
          <t>L2 Module</t>
        </is>
      </c>
      <c r="I476" t="inlineStr">
        <is>
          <t>Projects</t>
        </is>
      </c>
    </row>
    <row r="477">
      <c r="A477" t="inlineStr">
        <is>
          <t>KERN-5</t>
        </is>
      </c>
      <c r="B477" t="inlineStr">
        <is>
          <t>Database ids must be OPAQUE — getLockedDbId derives identity by string surgery</t>
        </is>
      </c>
      <c r="C477" t="inlineStr">
        <is>
          <t>Kernel</t>
        </is>
      </c>
      <c r="D477" t="inlineStr">
        <is>
          <t>P0</t>
        </is>
      </c>
      <c r="E477" t="inlineStr">
        <is>
          <t>Open</t>
        </is>
      </c>
      <c r="F477" t="inlineStr">
        <is>
          <t>coral-walkdown-project-identity.md</t>
        </is>
      </c>
      <c r="G477" t="inlineStr">
        <is>
          <t>Ids are &lt;base&gt;-&lt;tenantSuffix&gt;; tenancy recovered via split('-'). Breaches IDENTITY DIRECTIVE. Delete the function, do not fix it — 4 fallback branches = it does not know the answer.</t>
        </is>
      </c>
      <c r="H477" t="inlineStr">
        <is>
          <t>L0 Kernel</t>
        </is>
      </c>
      <c r="I477" t="inlineStr">
        <is>
          <t>Identity</t>
        </is>
      </c>
    </row>
    <row r="478">
      <c r="A478" t="inlineStr">
        <is>
          <t>KERN-5a</t>
        </is>
      </c>
      <c r="B478" t="inlineStr">
        <is>
          <t>lockedDbUtils is CLIENT-SAFE by design — tenant db identity computed in the browser</t>
        </is>
      </c>
      <c r="C478" t="inlineStr">
        <is>
          <t>Kernel</t>
        </is>
      </c>
      <c r="D478" t="inlineStr">
        <is>
          <t>P0</t>
        </is>
      </c>
      <c r="E478" t="inlineStr">
        <is>
          <t>Open</t>
        </is>
      </c>
      <c r="F478" t="inlineStr">
        <is>
          <t>coral-walkdown-project-identity.md</t>
        </is>
      </c>
      <c r="G478" t="inlineStr">
        <is>
          <t>Imported by TenantContext.tsx and four m/* pages. Same defect as KERN-3, fixed for creation, missed for resolution.</t>
        </is>
      </c>
      <c r="H478" t="inlineStr">
        <is>
          <t>L0 Kernel</t>
        </is>
      </c>
      <c r="I478" t="inlineStr">
        <is>
          <t>Identity</t>
        </is>
      </c>
    </row>
    <row r="479">
      <c r="A479" t="inlineStr">
        <is>
          <t>KERN-5b</t>
        </is>
      </c>
      <c r="B479" t="inlineStr">
        <is>
          <t>ZOMBIE: getLockedDbId's final fallback is `return base // Legacy FOUNDER fallback`</t>
        </is>
      </c>
      <c r="C479" t="inlineStr">
        <is>
          <t>Kernel</t>
        </is>
      </c>
      <c r="D479" t="inlineStr">
        <is>
          <t>P0</t>
        </is>
      </c>
      <c r="E479" t="inlineStr">
        <is>
          <t>Open</t>
        </is>
      </c>
      <c r="F479" t="inlineStr">
        <is>
          <t>coral-walkdown-project-identity.md</t>
        </is>
      </c>
      <c r="G479" t="inlineStr">
        <is>
          <t>The resolver's last answer works for the founder and points at a foreign/nonexistent db for everyone else. Sample size of one, shipped, in a comment.</t>
        </is>
      </c>
      <c r="H479" t="inlineStr">
        <is>
          <t>L0 Kernel</t>
        </is>
      </c>
      <c r="I479" t="inlineStr">
        <is>
          <t>Identity</t>
        </is>
      </c>
    </row>
    <row r="480">
      <c r="A480" t="inlineStr">
        <is>
          <t>KERN-5c</t>
        </is>
      </c>
      <c r="B480" t="inlineStr">
        <is>
          <t>'db-1' is a name doing an identifier's job — 54 literals across the ERP</t>
        </is>
      </c>
      <c r="C480" t="inlineStr">
        <is>
          <t>Kernel</t>
        </is>
      </c>
      <c r="D480" t="inlineStr">
        <is>
          <t>P1</t>
        </is>
      </c>
      <c r="E480" t="inlineStr">
        <is>
          <t>Open</t>
        </is>
      </c>
      <c r="F480" t="inlineStr">
        <is>
          <t>coral-walkdown-project-identity.md</t>
        </is>
      </c>
      <c r="G480" t="inlineStr">
        <is>
          <t>KERN-3 shape. The role is 'projects'. 20 resolveDbId sites, 54 bare literals, 3 fail-open.</t>
        </is>
      </c>
      <c r="H480" t="inlineStr">
        <is>
          <t>L0 Kernel</t>
        </is>
      </c>
      <c r="I480" t="inlineStr">
        <is>
          <t>Identity</t>
        </is>
      </c>
    </row>
    <row r="481">
      <c r="A481" t="inlineStr">
        <is>
          <t>TSC-10</t>
        </is>
      </c>
      <c r="B481" t="inlineStr">
        <is>
          <t>scope.systemDatabase(role) — the role-&gt;id binding belongs to the seraph, throws if unbound</t>
        </is>
      </c>
      <c r="C481" t="inlineStr">
        <is>
          <t>Tenancy (R1)</t>
        </is>
      </c>
      <c r="D481" t="inlineStr">
        <is>
          <t>P0</t>
        </is>
      </c>
      <c r="E481" t="inlineStr">
        <is>
          <t>Open</t>
        </is>
      </c>
      <c r="F481" t="inlineStr">
        <is>
          <t>coral-walkdown-project-identity.md</t>
        </is>
      </c>
      <c r="G481" t="inlineStr">
        <is>
          <t>Makes the 3 fail-opens UNWRITABLE rather than fixed: no lockedDbIds object in scope to || against. TSC-0 D3 — tenant never a parameter.</t>
        </is>
      </c>
      <c r="H481" t="inlineStr">
        <is>
          <t>L1 Core</t>
        </is>
      </c>
      <c r="I481" t="inlineStr">
        <is>
          <t>Tenant gate</t>
        </is>
      </c>
    </row>
    <row r="482">
      <c r="A482" t="inlineStr">
        <is>
          <t>KERN-5d</t>
        </is>
      </c>
      <c r="B482" t="inlineStr">
        <is>
          <t>ZOMBIE LIVE: tenant 'Murgu, Catalin' has only 6 of 16 role bindings</t>
        </is>
      </c>
      <c r="C482" t="inlineStr">
        <is>
          <t>Kernel</t>
        </is>
      </c>
      <c r="D482" t="inlineStr">
        <is>
          <t>P0</t>
        </is>
      </c>
      <c r="E482" t="inlineStr">
        <is>
          <t>Open</t>
        </is>
      </c>
      <c r="F482" t="inlineStr">
        <is>
          <t>coral-walkdown-project-identity.md</t>
        </is>
      </c>
      <c r="G482" t="inlineStr">
        <is>
          <t>Missing: articles, bestek, bobex, crm, hr, journal-general, payments-in, payments-out, projects, tasks. getLockedDbId synthesises db-1-cmoa44mj etc., which do not exist -&gt; ten modules silently empty. Broken, NOT leaking (server paths carry database:{tenantId}). The zombie rule, observed in production.</t>
        </is>
      </c>
      <c r="H482" t="inlineStr">
        <is>
          <t>L0 Kernel</t>
        </is>
      </c>
      <c r="I482" t="inlineStr">
        <is>
          <t>Identity</t>
        </is>
      </c>
    </row>
    <row r="483">
      <c r="A483" t="inlineStr">
        <is>
          <t>KERN-5e</t>
        </is>
      </c>
      <c r="B483" t="inlineStr">
        <is>
          <t>Binding 'hr' -&gt; db-hr resolves to NOTHING for BV CORAL (resolves=0)</t>
        </is>
      </c>
      <c r="C483" t="inlineStr">
        <is>
          <t>Kernel</t>
        </is>
      </c>
      <c r="D483" t="inlineStr">
        <is>
          <t>P1</t>
        </is>
      </c>
      <c r="E483" t="inlineStr">
        <is>
          <t>Open</t>
        </is>
      </c>
      <c r="F483" t="inlineStr">
        <is>
          <t>coral-walkdown-project-identity.md</t>
        </is>
      </c>
      <c r="G483" t="inlineStr">
        <is>
          <t>A bound role pointing at a non-existent database. scope.systemDatabase('hr') must throw; today code queries a ghost id and gets silence.</t>
        </is>
      </c>
      <c r="H483" t="inlineStr">
        <is>
          <t>L0 Kernel</t>
        </is>
      </c>
      <c r="I483" t="inlineStr">
        <is>
          <t>Identity</t>
        </is>
      </c>
    </row>
    <row r="484">
      <c r="A484" t="inlineStr">
        <is>
          <t>KERN-5f</t>
        </is>
      </c>
      <c r="B484" t="inlineStr">
        <is>
          <t>Unbound orphan database 'db-projects-hr' (name: New Workspace) on both branches</t>
        </is>
      </c>
      <c r="C484" t="inlineStr">
        <is>
          <t>Kernel</t>
        </is>
      </c>
      <c r="D484" t="inlineStr">
        <is>
          <t>P2</t>
        </is>
      </c>
      <c r="E484" t="inlineStr">
        <is>
          <t>Open</t>
        </is>
      </c>
      <c r="F484" t="inlineStr">
        <is>
          <t>coral-walkdown-project-identity.md</t>
        </is>
      </c>
      <c r="G484" t="inlineStr">
        <is>
          <t>Exists, belongs to BV CORAL, bound to no role. Decide: is this the HR projects db that PROJ-0 retires, or junk? Do not delete before deciding.</t>
        </is>
      </c>
      <c r="H484" t="inlineStr">
        <is>
          <t>L0 Kernel</t>
        </is>
      </c>
      <c r="I484" t="inlineStr">
        <is>
          <t>Identity</t>
        </is>
      </c>
    </row>
    <row r="485">
      <c r="A485" t="inlineStr">
        <is>
          <t>PLAN-1</t>
        </is>
      </c>
      <c r="B485" t="inlineStr">
        <is>
          <t>Planner asserted 'single tenant' without querying — corrected in 2 directives</t>
        </is>
      </c>
      <c r="C485" t="inlineStr">
        <is>
          <t>Process</t>
        </is>
      </c>
      <c r="D485" t="inlineStr">
        <is>
          <t>P1</t>
        </is>
      </c>
      <c r="E485" t="inlineStr">
        <is>
          <t>Done</t>
        </is>
      </c>
      <c r="F485" t="inlineStr">
        <is>
          <t>coral-walkdown-project-identity.md</t>
        </is>
      </c>
      <c r="G485" t="inlineStr">
        <is>
          <t>There are TWO tenants in prod and staging. The single-tenant caveat shaped how TSC-4 and HRA were verified. Fourth instance in one session of stating a data fact without checking. pd.md 5b extended.</t>
        </is>
      </c>
      <c r="H485" t="inlineStr">
        <is>
          <t>—</t>
        </is>
      </c>
      <c r="I485" t="inlineStr">
        <is>
          <t>—</t>
        </is>
      </c>
    </row>
    <row r="486">
      <c r="A486" t="inlineStr">
        <is>
          <t>KERN-5g</t>
        </is>
      </c>
      <c r="B486" t="inlineStr">
        <is>
          <t>Three lists for one concept: BASE_TO_KEY=16, LOCKED_DB_BASES=8, Murgu bound=6</t>
        </is>
      </c>
      <c r="C486" t="inlineStr">
        <is>
          <t>Kernel</t>
        </is>
      </c>
      <c r="D486" t="inlineStr">
        <is>
          <t>P0</t>
        </is>
      </c>
      <c r="E486" t="inlineStr">
        <is>
          <t>Done</t>
        </is>
      </c>
      <c r="F486" t="inlineStr">
        <is>
          <t>coder-directive-kern-5-vocabulary.md</t>
        </is>
      </c>
      <c r="G486" t="inlineStr">
        <is>
          <t>Defect shape #1 in the kernel. Collapse to one SYSTEM_DATABASE_ROLES array. | Verified at 759477a: 16 unique roles + 16 names, zero imports in the kernel file, LOCKED_DB_BASES/DB_NAMES/tenantId.slice all zero, idempotent by binding, id omitted so Prisma's @default(cuid()) mints. eslint 0, allowlist 121, 186 pass / 13 TSC-9 red.</t>
        </is>
      </c>
      <c r="H486" t="inlineStr">
        <is>
          <t>L0 Kernel</t>
        </is>
      </c>
      <c r="I486" t="inlineStr">
        <is>
          <t>Identity</t>
        </is>
      </c>
    </row>
    <row r="487">
      <c r="A487" t="inlineStr">
        <is>
          <t>KERN-5h</t>
        </is>
      </c>
      <c r="B487" t="inlineStr">
        <is>
          <t>'projects' is NEVER provisioned for any tenant — not in LOCKED_DB_BASES</t>
        </is>
      </c>
      <c r="C487" t="inlineStr">
        <is>
          <t>Kernel</t>
        </is>
      </c>
      <c r="D487" t="inlineStr">
        <is>
          <t>P0</t>
        </is>
      </c>
      <c r="E487" t="inlineStr">
        <is>
          <t>Done</t>
        </is>
      </c>
      <c r="F487" t="inlineStr">
        <is>
          <t>coder-directive-kern-5-vocabulary.md</t>
        </is>
      </c>
      <c r="G487" t="inlineStr">
        <is>
          <t>BV CORAL's db-1 was hand-made in the founder era. Every onboarded tenant gets no projects db; the resolver synthesises a ghost. Breaks the free-tier-per-prospect model at the root. | Verified at 759477a: 16 unique roles + 16 names, zero imports in the kernel file, LOCKED_DB_BASES/DB_NAMES/tenantId.slice all zero, idempotent by binding, id omitted so Prisma's @default(cuid()) mints. eslint 0, allowlist 121, 186 pass / 13 TSC-9 red.</t>
        </is>
      </c>
      <c r="H487" t="inlineStr">
        <is>
          <t>L0 Kernel</t>
        </is>
      </c>
      <c r="I487" t="inlineStr">
        <is>
          <t>Identity</t>
        </is>
      </c>
    </row>
    <row r="488">
      <c r="A488" t="inlineStr">
        <is>
          <t>KERN-5i</t>
        </is>
      </c>
      <c r="B488" t="inlineStr">
        <is>
          <t>Provisioning mints ${base}-${tenantId.slice(0,8)} — the mint itself derives</t>
        </is>
      </c>
      <c r="C488" t="inlineStr">
        <is>
          <t>Kernel</t>
        </is>
      </c>
      <c r="D488" t="inlineStr">
        <is>
          <t>P0</t>
        </is>
      </c>
      <c r="E488" t="inlineStr">
        <is>
          <t>Done</t>
        </is>
      </c>
      <c r="F488" t="inlineStr">
        <is>
          <t>coder-directive-kern-5-vocabulary.md</t>
        </is>
      </c>
      <c r="G488" t="inlineStr">
        <is>
          <t>The composite id is the minting convention, not a resolver hack. New ids must be opaque cuid. | Verified at 759477a: 16 unique roles + 16 names, zero imports in the kernel file, LOCKED_DB_BASES/DB_NAMES/tenantId.slice all zero, idempotent by binding, id omitted so Prisma's @default(cuid()) mints. eslint 0, allowlist 121, 186 pass / 13 TSC-9 red.</t>
        </is>
      </c>
      <c r="H488" t="inlineStr">
        <is>
          <t>L0 Kernel</t>
        </is>
      </c>
      <c r="I488" t="inlineStr">
        <is>
          <t>Identity</t>
        </is>
      </c>
    </row>
    <row r="489">
      <c r="A489" t="inlineStr">
        <is>
          <t>KERN-5j</t>
        </is>
      </c>
      <c r="B489" t="inlineStr">
        <is>
          <t>BACKFILL bindings for both tenants (Florin, after K2)</t>
        </is>
      </c>
      <c r="C489" t="inlineStr">
        <is>
          <t>Kernel</t>
        </is>
      </c>
      <c r="D489" t="inlineStr">
        <is>
          <t>P0</t>
        </is>
      </c>
      <c r="E489" t="inlineStr">
        <is>
          <t>Open</t>
        </is>
      </c>
      <c r="F489" t="inlineStr">
        <is>
          <t>coder-directive-kern-5-vocabulary.md</t>
        </is>
      </c>
      <c r="G489" t="inlineStr">
        <is>
          <t>Precondition for deleting getLockedDbId. Without it the refusal is loud instead of correct.</t>
        </is>
      </c>
      <c r="H489" t="inlineStr">
        <is>
          <t>L0 Kernel</t>
        </is>
      </c>
      <c r="I489" t="inlineStr">
        <is>
          <t>Identity</t>
        </is>
      </c>
    </row>
    <row r="490">
      <c r="A490" t="inlineStr">
        <is>
          <t>CORE-1</t>
        </is>
      </c>
      <c r="B490" t="inlineStr">
        <is>
          <t>ProjectRef + D-A: 'is this a project page' enforced at write, written once</t>
        </is>
      </c>
      <c r="C490" t="inlineStr">
        <is>
          <t>Projects</t>
        </is>
      </c>
      <c r="D490" t="inlineStr">
        <is>
          <t>P0</t>
        </is>
      </c>
      <c r="E490" t="inlineStr">
        <is>
          <t>Open</t>
        </is>
      </c>
      <c r="F490" t="inlineStr">
        <is>
          <t>coral-kernel-system-databases.md</t>
        </is>
      </c>
      <c r="G490" t="inlineStr">
        <is>
          <t>Not expressible as a FK (GlobalPage polymorphic). Currently CLEAN: all 13 linked shifts point into db-1. Enforcing now costs nothing.</t>
        </is>
      </c>
      <c r="H490" t="inlineStr">
        <is>
          <t>L1 Core</t>
        </is>
      </c>
      <c r="I490" t="inlineStr">
        <is>
          <t>Projects</t>
        </is>
      </c>
    </row>
    <row r="491">
      <c r="A491" t="inlineStr">
        <is>
          <t>KERN-5k</t>
        </is>
      </c>
      <c r="B491" t="inlineStr">
        <is>
          <t>Staging test tenant cmuggge0h... left behind by KERN-5 verification</t>
        </is>
      </c>
      <c r="C491" t="inlineStr">
        <is>
          <t>Kernel</t>
        </is>
      </c>
      <c r="D491" t="inlineStr">
        <is>
          <t>P2</t>
        </is>
      </c>
      <c r="E491" t="inlineStr">
        <is>
          <t>Open</t>
        </is>
      </c>
      <c r="F491" t="inlineStr">
        <is>
          <t>coder-directive-kern-5-vocabulary.md</t>
        </is>
      </c>
      <c r="G491" t="inlineStr">
        <is>
          <t>Fresh-signup proof created a tenant + 16 databases on staging. Decide: keep as a 2nd-tenant fixture for isolation testing, or delete.</t>
        </is>
      </c>
      <c r="H491" t="inlineStr">
        <is>
          <t>L0 Kernel</t>
        </is>
      </c>
      <c r="I491" t="inlineStr">
        <is>
          <t>Identity</t>
        </is>
      </c>
    </row>
    <row r="492">
      <c r="A492" t="inlineStr">
        <is>
          <t>KERN-5l</t>
        </is>
      </c>
      <c r="B492" t="inlineStr">
        <is>
          <t>Staging and production now DIVERGE for tenant Murgu (16 bindings vs 6)</t>
        </is>
      </c>
      <c r="C492" t="inlineStr">
        <is>
          <t>Kernel</t>
        </is>
      </c>
      <c r="D492" t="inlineStr">
        <is>
          <t>P1</t>
        </is>
      </c>
      <c r="E492" t="inlineStr">
        <is>
          <t>Open</t>
        </is>
      </c>
      <c r="F492" t="inlineStr">
        <is>
          <t>coder-directive-kern-5-vocabulary.md</t>
        </is>
      </c>
      <c r="G492" t="inlineStr">
        <is>
          <t>Staging backfilled during verification. Production backfill will mint DIFFERENT cuids. The two branches are no longer comparable for that tenant.</t>
        </is>
      </c>
      <c r="H492" t="inlineStr">
        <is>
          <t>L0 Kernel</t>
        </is>
      </c>
      <c r="I492" t="inlineStr">
        <is>
          <t>Identity</t>
        </is>
      </c>
    </row>
    <row r="493">
      <c r="A493" t="inlineStr">
        <is>
          <t>KERN-6</t>
        </is>
      </c>
      <c r="B493" t="inlineStr">
        <is>
          <t>PASS 3a: one SYSTEM_DATABASES table; the other four lists become derived</t>
        </is>
      </c>
      <c r="C493" t="inlineStr">
        <is>
          <t>Kernel</t>
        </is>
      </c>
      <c r="D493" t="inlineStr">
        <is>
          <t>P0</t>
        </is>
      </c>
      <c r="E493" t="inlineStr">
        <is>
          <t>Open</t>
        </is>
      </c>
      <c r="F493" t="inlineStr">
        <is>
          <t>coral-id-parsing-decomposition.md</t>
        </is>
      </c>
      <c r="G493" t="inlineStr">
        <is>
          <t>Five lists, five lengths: 16/16/14/8/6. Not five bugs — one missing table with columns (role, legacyBase, displayName, module).</t>
        </is>
      </c>
      <c r="H493" t="inlineStr">
        <is>
          <t>L0 Kernel</t>
        </is>
      </c>
      <c r="I493" t="inlineStr">
        <is>
          <t>Identity</t>
        </is>
      </c>
    </row>
    <row r="494">
      <c r="A494" t="inlineStr">
        <is>
          <t>KERN-6a</t>
        </is>
      </c>
      <c r="B494" t="inlineStr">
        <is>
          <t>LIVE: SYSTEM_DB_PREFIXES omits journal-general and hr (14 of 16)</t>
        </is>
      </c>
      <c r="C494" t="inlineStr">
        <is>
          <t>Kernel</t>
        </is>
      </c>
      <c r="D494" t="inlineStr">
        <is>
          <t>P0</t>
        </is>
      </c>
      <c r="E494" t="inlineStr">
        <is>
          <t>Open</t>
        </is>
      </c>
      <c r="F494" t="inlineStr">
        <is>
          <t>coral-id-parsing-decomposition.md</t>
        </is>
      </c>
      <c r="G494" t="inlineStr">
        <is>
          <t>isSystemDatabase('db-hr') === false -&gt; createPageServerFirst does not resolve them through the book; requiredModuleForDb does not gate them.</t>
        </is>
      </c>
      <c r="H494" t="inlineStr">
        <is>
          <t>L0 Kernel</t>
        </is>
      </c>
      <c r="I494" t="inlineStr">
        <is>
          <t>Identity</t>
        </is>
      </c>
    </row>
    <row r="495">
      <c r="A495" t="inlineStr">
        <is>
          <t>KERN-6b</t>
        </is>
      </c>
      <c r="B495" t="inlineStr">
        <is>
          <t>SERVER_PROVISIONED_BASES (8) now disagrees with reality — pass 1 provisions 16</t>
        </is>
      </c>
      <c r="C495" t="inlineStr">
        <is>
          <t>Kernel</t>
        </is>
      </c>
      <c r="D495" t="inlineStr">
        <is>
          <t>P1</t>
        </is>
      </c>
      <c r="E495" t="inlineStr">
        <is>
          <t>Open</t>
        </is>
      </c>
      <c r="F495" t="inlineStr">
        <is>
          <t>coral-id-parsing-decomposition.md</t>
        </is>
      </c>
      <c r="G495" t="inlineStr">
        <is>
          <t>Stale Set left behind by pass 1.</t>
        </is>
      </c>
      <c r="H495" t="inlineStr">
        <is>
          <t>L0 Kernel</t>
        </is>
      </c>
      <c r="I495" t="inlineStr">
        <is>
          <t>Identity</t>
        </is>
      </c>
    </row>
    <row r="496">
      <c r="A496" t="inlineStr">
        <is>
          <t>KERN-6c</t>
        </is>
      </c>
      <c r="B496" t="inlineStr">
        <is>
          <t>ENTITLEMENT decided by prefix-match: requiredModuleForDb (pages.ts:26)</t>
        </is>
      </c>
      <c r="C496" t="inlineStr">
        <is>
          <t>Kernel</t>
        </is>
      </c>
      <c r="D496" t="inlineStr">
        <is>
          <t>P0</t>
        </is>
      </c>
      <c r="E496" t="inlineStr">
        <is>
          <t>Open</t>
        </is>
      </c>
      <c r="F496" t="inlineStr">
        <is>
          <t>coral-id-parsing-decomposition.md</t>
        </is>
      </c>
      <c r="G496" t="inlineStr">
        <is>
          <t>A permission decision made by string comparison. AUTHORITY DIRECTIVE — authority is never inferred from a substring. The careful batch (3b-2). | WIDER THAN LABELLED: not just how the gate reads an id — there are FOUR gates and no module vocabulary. Superseded by ENT-1..5.</t>
        </is>
      </c>
      <c r="H496" t="inlineStr">
        <is>
          <t>L1 Core</t>
        </is>
      </c>
      <c r="I496" t="inlineStr">
        <is>
          <t>Entitlement</t>
        </is>
      </c>
    </row>
    <row r="497">
      <c r="A497" t="inlineStr">
        <is>
          <t>KERN-7</t>
        </is>
      </c>
      <c r="B497" t="inlineStr">
        <is>
          <t>PASS 3b: ESLint parse ratchet — 28 files grandfathered, length is the metric</t>
        </is>
      </c>
      <c r="C497" t="inlineStr">
        <is>
          <t>Kernel</t>
        </is>
      </c>
      <c r="D497" t="inlineStr">
        <is>
          <t>P0</t>
        </is>
      </c>
      <c r="E497" t="inlineStr">
        <is>
          <t>Open</t>
        </is>
      </c>
      <c r="F497" t="inlineStr">
        <is>
          <t>coral-id-parsing-decomposition.md</t>
        </is>
      </c>
      <c r="G497" t="inlineStr">
        <is>
          <t>74 parse sites across 28 files. Same mechanism as PRE-1d's prisma allowlist (121).</t>
        </is>
      </c>
      <c r="H497" t="inlineStr">
        <is>
          <t>L0 Kernel</t>
        </is>
      </c>
      <c r="I497" t="inlineStr">
        <is>
          <t>Identity</t>
        </is>
      </c>
    </row>
    <row r="498">
      <c r="A498" t="inlineStr">
        <is>
          <t>KERN-8</t>
        </is>
      </c>
      <c r="B498" t="inlineStr">
        <is>
          <t>PASS 3c: delete getLockedDbId + lockedDbUtils + resolve.ts prefix searches</t>
        </is>
      </c>
      <c r="C498" t="inlineStr">
        <is>
          <t>Kernel</t>
        </is>
      </c>
      <c r="D498" t="inlineStr">
        <is>
          <t>P1</t>
        </is>
      </c>
      <c r="E498" t="inlineStr">
        <is>
          <t>Open</t>
        </is>
      </c>
      <c r="F498" t="inlineStr">
        <is>
          <t>coral-id-parsing-decomposition.md</t>
        </is>
      </c>
      <c r="G498" t="inlineStr">
        <is>
          <t>Only when 3b's allowlist reaches zero. Gated on the R1-1b relation-target measurement.</t>
        </is>
      </c>
      <c r="H498" t="inlineStr">
        <is>
          <t>L0 Kernel</t>
        </is>
      </c>
      <c r="I498" t="inlineStr">
        <is>
          <t>Identity</t>
        </is>
      </c>
    </row>
    <row r="499">
      <c r="A499" t="inlineStr">
        <is>
          <t>R1-1b-M</t>
        </is>
      </c>
      <c r="B499" t="inlineStr">
        <is>
          <t>MEASURE: relation properties whose targetDatabaseId is a legacy base id</t>
        </is>
      </c>
      <c r="C499" t="inlineStr">
        <is>
          <t>Tenancy (R1)</t>
        </is>
      </c>
      <c r="D499" t="inlineStr">
        <is>
          <t>P0</t>
        </is>
      </c>
      <c r="E499" t="inlineStr">
        <is>
          <t>Done</t>
        </is>
      </c>
      <c r="F499" t="inlineStr">
        <is>
          <t>coral-id-parsing-decomposition.md</t>
        </is>
      </c>
      <c r="G499" t="inlineStr">
        <is>
          <t>MEASURED 2026-09-26 prod: 36 resolve, 3 LEGACY ALIAS, 0 CROSS-TENANT. R1-1b is 3 JSON edits, not 9,226 pages. Planner's spec had the wrong JSON key (targetDatabaseId); real key is config.relationDatabaseId — the wrong query would have returned 0 rows as a false all-clear.</t>
        </is>
      </c>
      <c r="H499" t="inlineStr">
        <is>
          <t>L1 Core</t>
        </is>
      </c>
      <c r="I499" t="inlineStr">
        <is>
          <t>Relations</t>
        </is>
      </c>
    </row>
    <row r="500">
      <c r="A500" t="inlineStr">
        <is>
          <t>PLAN-2</t>
        </is>
      </c>
      <c r="B500" t="inlineStr">
        <is>
          <t>Planner verified 'one array' by grepping its own three names, not the concept</t>
        </is>
      </c>
      <c r="C500" t="inlineStr">
        <is>
          <t>Process</t>
        </is>
      </c>
      <c r="D500" t="inlineStr">
        <is>
          <t>P1</t>
        </is>
      </c>
      <c r="E500" t="inlineStr">
        <is>
          <t>Done</t>
        </is>
      </c>
      <c r="F500" t="inlineStr">
        <is>
          <t>coral-id-parsing-decomposition.md</t>
        </is>
      </c>
      <c r="G500" t="inlineStr">
        <is>
          <t>Missed SYSTEM_DB_PREFIXES, SERVER_PROVISIONED_BASES and DB_ID_MODULE_MAP in the pass-1 check. Verify the claim, not the wording of the claim.</t>
        </is>
      </c>
      <c r="H500" t="inlineStr">
        <is>
          <t>—</t>
        </is>
      </c>
      <c r="I500" t="inlineStr">
        <is>
          <t>—</t>
        </is>
      </c>
    </row>
    <row r="501">
      <c r="A501" t="inlineStr">
        <is>
          <t>R1-1b-R1</t>
        </is>
      </c>
      <c r="B501" t="inlineStr">
        <is>
          <t>REPAIR (Florin, UI): BV CORAL Projects -&gt; 'Klant' points at bare db-clients</t>
        </is>
      </c>
      <c r="C501" t="inlineStr">
        <is>
          <t>Tenancy (R1)</t>
        </is>
      </c>
      <c r="D501" t="inlineStr">
        <is>
          <t>P2</t>
        </is>
      </c>
      <c r="E501" t="inlineStr">
        <is>
          <t>Open</t>
        </is>
      </c>
      <c r="F501" t="inlineStr">
        <is>
          <t>coral-id-parsing-decomposition.md</t>
        </is>
      </c>
      <c r="G501" t="inlineStr">
        <is>
          <t>Fix via Settings &gt; Databases &gt; Projects &gt; Klant &gt; re-pick Contacts. No SQL, no snapshot — the normal path writes the bound id.</t>
        </is>
      </c>
      <c r="H501" t="inlineStr">
        <is>
          <t>L1 Core</t>
        </is>
      </c>
      <c r="I501" t="inlineStr">
        <is>
          <t>Relations</t>
        </is>
      </c>
    </row>
    <row r="502">
      <c r="A502" t="inlineStr">
        <is>
          <t>R1-1b-R2</t>
        </is>
      </c>
      <c r="B502" t="inlineStr">
        <is>
          <t>REPAIR (code, R1-1b): Murgu's 2 invoice dbs -&gt; 'Project' points at fabricated db-1-cmoa44mj</t>
        </is>
      </c>
      <c r="C502" t="inlineStr">
        <is>
          <t>Tenancy (R1)</t>
        </is>
      </c>
      <c r="D502" t="inlineStr">
        <is>
          <t>P1</t>
        </is>
      </c>
      <c r="E502" t="inlineStr">
        <is>
          <t>Open</t>
        </is>
      </c>
      <c r="F502" t="inlineStr">
        <is>
          <t>coral-id-parsing-decomposition.md</t>
        </is>
      </c>
      <c r="G502" t="inlineStr">
        <is>
          <t>Proof the getLockedDbId suffix-synthesis branch fired in production AND persisted. Repoint to the tenant's real projects binding via reviewed code, not hand-edited JSON.</t>
        </is>
      </c>
      <c r="H502" t="inlineStr">
        <is>
          <t>L1 Core</t>
        </is>
      </c>
      <c r="I502" t="inlineStr">
        <is>
          <t>Relations</t>
        </is>
      </c>
    </row>
    <row r="503">
      <c r="A503" t="inlineStr">
        <is>
          <t>KERN-9</t>
        </is>
      </c>
      <c r="B503" t="inlineStr">
        <is>
          <t>'db-' is NOT a reliable database-id marker — it occurs inside random UUIDs</t>
        </is>
      </c>
      <c r="C503" t="inlineStr">
        <is>
          <t>Kernel</t>
        </is>
      </c>
      <c r="D503" t="inlineStr">
        <is>
          <t>P1</t>
        </is>
      </c>
      <c r="E503" t="inlineStr">
        <is>
          <t>Open</t>
        </is>
      </c>
      <c r="F503" t="inlineStr">
        <is>
          <t>coral-id-parsing-decomposition.md</t>
        </is>
      </c>
      <c r="G503" t="inlineStr">
        <is>
          <t>Property/view UUIDs like 1b1dd3d1-94ee-4cdb-a8b9-... contain 'db-'. No lint rule, helper or migration in pass 3b may detect a database id by pattern. The binding is the only answer.</t>
        </is>
      </c>
      <c r="H503" t="inlineStr">
        <is>
          <t>L0 Kernel</t>
        </is>
      </c>
      <c r="I503" t="inlineStr">
        <is>
          <t>Identity</t>
        </is>
      </c>
    </row>
    <row r="504">
      <c r="A504" t="inlineStr">
        <is>
          <t>PLAN-3</t>
        </is>
      </c>
      <c r="B504" t="inlineStr">
        <is>
          <t>Planner produced 4 false findings from a regex matching 'db-' inside UUIDs</t>
        </is>
      </c>
      <c r="C504" t="inlineStr">
        <is>
          <t>Process</t>
        </is>
      </c>
      <c r="D504" t="inlineStr">
        <is>
          <t>P1</t>
        </is>
      </c>
      <c r="E504" t="inlineStr">
        <is>
          <t>Done</t>
        </is>
      </c>
      <c r="F504" t="inlineStr">
        <is>
          <t>coral-id-parsing-decomposition.md</t>
        </is>
      </c>
      <c r="G504" t="inlineStr">
        <is>
          <t>Third measurement error on one question: wrong JSON key (targetDatabaseId), then properties-only scope, then a regex manufacturing matches. Real damage was 3 rows, not 7.</t>
        </is>
      </c>
      <c r="H504" t="inlineStr">
        <is>
          <t>—</t>
        </is>
      </c>
      <c r="I504" t="inlineStr">
        <is>
          <t>—</t>
        </is>
      </c>
    </row>
    <row r="505">
      <c r="A505" t="inlineStr">
        <is>
          <t>ENT-3</t>
        </is>
      </c>
      <c r="B505" t="inlineStr">
        <is>
          <t>SERAPH: scope.may(module) — one reader, reads the DB, JWT is a hint not a gate</t>
        </is>
      </c>
      <c r="C505" t="inlineStr">
        <is>
          <t>Entitlement</t>
        </is>
      </c>
      <c r="D505" t="inlineStr">
        <is>
          <t>P0</t>
        </is>
      </c>
      <c r="E505" t="inlineStr">
        <is>
          <t>Open</t>
        </is>
      </c>
      <c r="F505" t="inlineStr">
        <is>
          <t>coral-walkdown-entitlement.md</t>
        </is>
      </c>
      <c r="G505" t="inlineStr">
        <is>
          <t>LEAK: middleware gates on the JWT, moduleGuard reads the DB to avoid the stale-token window. Revoking a module leaves route access open until token expiry. Revenue leak on free-tier-per-prospect.</t>
        </is>
      </c>
      <c r="H505" t="inlineStr">
        <is>
          <t>L1 Core</t>
        </is>
      </c>
      <c r="I505" t="inlineStr">
        <is>
          <t>Tenant gate</t>
        </is>
      </c>
    </row>
    <row r="506">
      <c r="A506" t="inlineStr">
        <is>
          <t>ENT-4</t>
        </is>
      </c>
      <c r="B506" t="inlineStr">
        <is>
          <t>CORE: requireModule() — one primitive; superadmin bypass lives here ONCE</t>
        </is>
      </c>
      <c r="C506" t="inlineStr">
        <is>
          <t>Entitlement</t>
        </is>
      </c>
      <c r="D506" t="inlineStr">
        <is>
          <t>P0</t>
        </is>
      </c>
      <c r="E506" t="inlineStr">
        <is>
          <t>Open</t>
        </is>
      </c>
      <c r="F506" t="inlineStr">
        <is>
          <t>coral-walkdown-entitlement.md</t>
        </is>
      </c>
      <c r="G506" t="inlineStr">
        <is>
          <t>Bypass is currently re-implemented in middleware, moduleGuard and pages.ts — three copies of a privilege escalation.</t>
        </is>
      </c>
      <c r="H506" t="inlineStr">
        <is>
          <t>L1 Core</t>
        </is>
      </c>
      <c r="I506" t="inlineStr">
        <is>
          <t>Entitlement</t>
        </is>
      </c>
    </row>
    <row r="507">
      <c r="A507" t="inlineStr">
        <is>
          <t>ENT-5</t>
        </is>
      </c>
      <c r="B507" t="inlineStr">
        <is>
          <t>Gate the CRM pipeline (Florin 2026-09-26: 'there's business logic behind this')</t>
        </is>
      </c>
      <c r="C507" t="inlineStr">
        <is>
          <t>Entitlement</t>
        </is>
      </c>
      <c r="D507" t="inlineStr">
        <is>
          <t>P1</t>
        </is>
      </c>
      <c r="E507" t="inlineStr">
        <is>
          <t>Open</t>
        </is>
      </c>
      <c r="F507" t="inlineStr">
        <is>
          <t>coral-walkdown-entitlement.md</t>
        </is>
      </c>
      <c r="G507" t="inlineStr">
        <is>
          <t>UNBLOCKED: BV CORAL holds CRM, so gating the pipeline does not lock Florin out.</t>
        </is>
      </c>
      <c r="H507" t="inlineStr">
        <is>
          <t>L2 Module</t>
        </is>
      </c>
      <c r="I507" t="inlineStr">
        <is>
          <t>CRM</t>
        </is>
      </c>
    </row>
    <row r="508">
      <c r="A508" t="inlineStr">
        <is>
          <t>ENT-0</t>
        </is>
      </c>
      <c r="B508" t="inlineStr">
        <is>
          <t>CENSUS: activeModules + planType per tenant (Florin, read-only)</t>
        </is>
      </c>
      <c r="C508" t="inlineStr">
        <is>
          <t>Entitlement</t>
        </is>
      </c>
      <c r="D508" t="inlineStr">
        <is>
          <t>P0</t>
        </is>
      </c>
      <c r="E508" t="inlineStr">
        <is>
          <t>Done</t>
        </is>
      </c>
      <c r="F508" t="inlineStr">
        <is>
          <t>coral-walkdown-entitlement.md</t>
        </is>
      </c>
      <c r="G508" t="inlineStr">
        <is>
          <t>MEASURED 2026-09-26: BV CORAL = ENTERPRISE, 9 modules incl CRM (gating the pipeline is SAFE). Murgu = FREE, INVOICING only.</t>
        </is>
      </c>
      <c r="H508" t="inlineStr">
        <is>
          <t>L1 Core</t>
        </is>
      </c>
      <c r="I508" t="inlineStr">
        <is>
          <t>Entitlement</t>
        </is>
      </c>
    </row>
    <row r="509">
      <c r="A509" t="inlineStr">
        <is>
          <t>ENT-6</t>
        </is>
      </c>
      <c r="B509" t="inlineStr">
        <is>
          <t>🔴 FREE tenant can CREATE in 14 of 16 system databases — 8 roles have no gate</t>
        </is>
      </c>
      <c r="C509" t="inlineStr">
        <is>
          <t>Entitlement</t>
        </is>
      </c>
      <c r="D509" t="inlineStr">
        <is>
          <t>P0</t>
        </is>
      </c>
      <c r="E509" t="inlineStr">
        <is>
          <t>Open</t>
        </is>
      </c>
      <c r="F509" t="inlineStr">
        <is>
          <t>coral-walkdown-entitlement.md</t>
        </is>
      </c>
      <c r="G509" t="inlineStr">
        <is>
          <t>Murgu (FREE, INVOICING only) has write access to projects, tasks, articles, crm, bobex, bestek, journal-general, hr. Not a decision anyone made — absence of a gate read as permission.</t>
        </is>
      </c>
      <c r="H509" t="inlineStr">
        <is>
          <t>L1 Core</t>
        </is>
      </c>
      <c r="I509" t="inlineStr">
        <is>
          <t>Entitlement</t>
        </is>
      </c>
    </row>
    <row r="510">
      <c r="A510" t="inlineStr">
        <is>
          <t>ENT-7</t>
        </is>
      </c>
      <c r="B510" t="inlineStr">
        <is>
          <t>🔴 FREE tenant CANNOT create a client — 'clients' is gated on CRM, FREE grants only INVOICING</t>
        </is>
      </c>
      <c r="C510" t="inlineStr">
        <is>
          <t>Entitlement</t>
        </is>
      </c>
      <c r="D510" t="inlineStr">
        <is>
          <t>P0</t>
        </is>
      </c>
      <c r="E510" t="inlineStr">
        <is>
          <t>Resolved by design</t>
        </is>
      </c>
      <c r="F510" t="inlineStr">
        <is>
          <t>coral-walkdown-entitlement.md</t>
        </is>
      </c>
      <c r="G510" t="inlineStr">
        <is>
          <t>An invoice needs a customer. A free-tier prospect can invoice but cannot create the client to invoice. Breaks the free-tier-per-prospect acquisition model at the first step. FLORIN: is clients an INVOICING database or a CRM one? | RESOLVED by ENT-10/11: clients need not move to INVOICING, and CRM need not be granted whole. FREE gets CRM:['clients']. Exactly what the submodule level is for.</t>
        </is>
      </c>
      <c r="H510" t="inlineStr">
        <is>
          <t>L2 Module</t>
        </is>
      </c>
      <c r="I510" t="inlineStr">
        <is>
          <t>Invoicing</t>
        </is>
      </c>
    </row>
    <row r="511">
      <c r="A511" t="inlineStr">
        <is>
          <t>ENT-8</t>
        </is>
      </c>
      <c r="B511" t="inlineStr">
        <is>
          <t>WEBSITES and EMAIL are granted to BV CORAL but ungrantable via the settings UI</t>
        </is>
      </c>
      <c r="C511" t="inlineStr">
        <is>
          <t>Entitlement</t>
        </is>
      </c>
      <c r="D511" t="inlineStr">
        <is>
          <t>P1</t>
        </is>
      </c>
      <c r="E511" t="inlineStr">
        <is>
          <t>Open</t>
        </is>
      </c>
      <c r="F511" t="inlineStr">
        <is>
          <t>coral-walkdown-entitlement.md</t>
        </is>
      </c>
      <c r="G511" t="inlineStr">
        <is>
          <t>A one-way door: present in data, cannot be re-granted if ever removed. MODULES (7) omits both.</t>
        </is>
      </c>
      <c r="H511" t="inlineStr">
        <is>
          <t>L1 Core</t>
        </is>
      </c>
      <c r="I511" t="inlineStr">
        <is>
          <t>Entitlement</t>
        </is>
      </c>
    </row>
    <row r="512">
      <c r="A512" t="inlineStr">
        <is>
          <t>ENT-9</t>
        </is>
      </c>
      <c r="B512" t="inlineStr">
        <is>
          <t>Superadmin bypass re-implemented in middleware.ts, moduleGuard.ts, pages.ts</t>
        </is>
      </c>
      <c r="C512" t="inlineStr">
        <is>
          <t>Entitlement</t>
        </is>
      </c>
      <c r="D512" t="inlineStr">
        <is>
          <t>P0</t>
        </is>
      </c>
      <c r="E512" t="inlineStr">
        <is>
          <t>Open</t>
        </is>
      </c>
      <c r="F512" t="inlineStr">
        <is>
          <t>coral-walkdown-entitlement.md</t>
        </is>
      </c>
      <c r="G512" t="inlineStr">
        <is>
          <t>pd.md directive 5a (Florin 2026-09-26): a component must not decide its own privilege. Three copies of a privilege escalation. Collapses into requireModule().</t>
        </is>
      </c>
      <c r="H512" t="inlineStr">
        <is>
          <t>L1 Core</t>
        </is>
      </c>
      <c r="I512" t="inlineStr">
        <is>
          <t>Entitlement</t>
        </is>
      </c>
    </row>
    <row r="513">
      <c r="A513" t="inlineStr">
        <is>
          <t>ENT-10</t>
        </is>
      </c>
      <c r="B513" t="inlineStr">
        <is>
          <t>SUBMODULE level: Tenant.entitlements Json replaces flat activeModules</t>
        </is>
      </c>
      <c r="C513" t="inlineStr">
        <is>
          <t>Entitlement</t>
        </is>
      </c>
      <c r="D513" t="inlineStr">
        <is>
          <t>P0</t>
        </is>
      </c>
      <c r="E513" t="inlineStr">
        <is>
          <t>Open</t>
        </is>
      </c>
      <c r="F513" t="inlineStr">
        <is>
          <t>coral-submodule-entitlement.md</t>
        </is>
      </c>
      <c r="G513" t="inlineStr">
        <is>
          <t>Florin 2026-09-26. One field, not two: a module granted with zero submodules becomes UNREPRESENTABLE rather than merely invalid. activeModules survives as derived, then drops.</t>
        </is>
      </c>
      <c r="H513" t="inlineStr">
        <is>
          <t>L0 Kernel</t>
        </is>
      </c>
      <c r="I513" t="inlineStr">
        <is>
          <t>Entitlement</t>
        </is>
      </c>
    </row>
    <row r="514">
      <c r="A514" t="inlineStr">
        <is>
          <t>ENT-11</t>
        </is>
      </c>
      <c r="B514" t="inlineStr">
        <is>
          <t>Routes and dbRoles attach to SUBMODULES, not modules</t>
        </is>
      </c>
      <c r="C514" t="inlineStr">
        <is>
          <t>Entitlement</t>
        </is>
      </c>
      <c r="D514" t="inlineStr">
        <is>
          <t>P0</t>
        </is>
      </c>
      <c r="E514" t="inlineStr">
        <is>
          <t>Open</t>
        </is>
      </c>
      <c r="F514" t="inlineStr">
        <is>
          <t>coral-submodule-entitlement.md</t>
        </is>
      </c>
      <c r="G514" t="inlineStr">
        <is>
          <t>The gate gets finer because the map does. A submodule IS a sidebar entry — if it is not in the nav it is not a submodule. That bound stops this becoming a permission system.</t>
        </is>
      </c>
      <c r="H514" t="inlineStr">
        <is>
          <t>L0 Kernel</t>
        </is>
      </c>
      <c r="I514" t="inlineStr">
        <is>
          <t>Entitlement</t>
        </is>
      </c>
    </row>
    <row r="515">
      <c r="A515" t="inlineStr">
        <is>
          <t>ENT-12</t>
        </is>
      </c>
      <c r="B515" t="inlineStr">
        <is>
          <t>TIER_DEFAULTS: planType is a TEMPLATE, never a gate</t>
        </is>
      </c>
      <c r="C515" t="inlineStr">
        <is>
          <t>Entitlement</t>
        </is>
      </c>
      <c r="D515" t="inlineStr">
        <is>
          <t>P0</t>
        </is>
      </c>
      <c r="E515" t="inlineStr">
        <is>
          <t>Open</t>
        </is>
      </c>
      <c r="F515" t="inlineStr">
        <is>
          <t>coral-submodule-entitlement.md</t>
        </is>
      </c>
      <c r="G515" t="inlineStr">
        <is>
          <t>planType decides what a tenant is GIVEN; entitlements decide what it MAY USE. No gate reads planType (pd.md 5a). Entitlements may exceed the tier default — Florin grants, nothing recomputes behind him.</t>
        </is>
      </c>
      <c r="H515" t="inlineStr">
        <is>
          <t>L0 Kernel</t>
        </is>
      </c>
      <c r="I515" t="inlineStr">
        <is>
          <t>Entitlement</t>
        </is>
      </c>
    </row>
    <row r="516">
      <c r="A516" t="inlineStr">
        <is>
          <t>ENT-13</t>
        </is>
      </c>
      <c r="B516" t="inlineStr">
        <is>
          <t>Sidebar renders from the grant — empty links impossible by construction</t>
        </is>
      </c>
      <c r="C516" t="inlineStr">
        <is>
          <t>Entitlement</t>
        </is>
      </c>
      <c r="D516" t="inlineStr">
        <is>
          <t>P1</t>
        </is>
      </c>
      <c r="E516" t="inlineStr">
        <is>
          <t>Open</t>
        </is>
      </c>
      <c r="F516" t="inlineStr">
        <is>
          <t>coral-submodule-entitlement.md</t>
        </is>
      </c>
      <c r="G516" t="inlineStr">
        <is>
          <t>Module link iff &gt;=1 granted submodule. Florin's stated reason for the minimum-one invariant.</t>
        </is>
      </c>
      <c r="H516" t="inlineStr">
        <is>
          <t>L2 Module</t>
        </is>
      </c>
      <c r="I516" t="inlineStr">
        <is>
          <t>Navigation</t>
        </is>
      </c>
    </row>
    <row r="517">
      <c r="A517" t="inlineStr">
        <is>
          <t>ENT-14</t>
        </is>
      </c>
      <c r="B517" t="inlineStr">
        <is>
          <t>MIGRATION: backfill entitlements from activeModules x TIER_DEFAULTS, nobody loses access</t>
        </is>
      </c>
      <c r="C517" t="inlineStr">
        <is>
          <t>Entitlement</t>
        </is>
      </c>
      <c r="D517" t="inlineStr">
        <is>
          <t>P0</t>
        </is>
      </c>
      <c r="E517" t="inlineStr">
        <is>
          <t>Open</t>
        </is>
      </c>
      <c r="F517" t="inlineStr">
        <is>
          <t>coral-submodule-entitlement.md</t>
        </is>
      </c>
      <c r="G517" t="inlineStr">
        <is>
          <t>Existing tenants default to ALL submodules of each granted module. BV CORAL's reachable surface must be byte-identical after backfill. Additive nullable column first.</t>
        </is>
      </c>
      <c r="H517" t="inlineStr">
        <is>
          <t>L0 Kernel</t>
        </is>
      </c>
      <c r="I517" t="inlineStr">
        <is>
          <t>Entitlement</t>
        </is>
      </c>
    </row>
    <row r="518">
      <c r="A518" t="inlineStr">
        <is>
          <t>ENT-15</t>
        </is>
      </c>
      <c r="B518" t="inlineStr">
        <is>
          <t>QUOTA is the second axis of entitlement — KEEP AND IMPLEMENT (Florin 2026-09-26)</t>
        </is>
      </c>
      <c r="C518" t="inlineStr">
        <is>
          <t>Entitlement</t>
        </is>
      </c>
      <c r="D518" t="inlineStr">
        <is>
          <t>P0</t>
        </is>
      </c>
      <c r="E518" t="inlineStr">
        <is>
          <t>Open</t>
        </is>
      </c>
      <c r="F518" t="inlineStr">
        <is>
          <t>coral-submodule-entitlement.md</t>
        </is>
      </c>
      <c r="G518" t="inlineStr">
        <is>
          <t>Reach (submodule grant, yes/no) and Quota (a number, checked at the action) fail differently: no reach = the door is not there; over quota = the door says not this month. Matrix has 5/mo invoices, 20 projects, 2 employees, 5GB, 1 pipeline.</t>
        </is>
      </c>
      <c r="H518" t="inlineStr">
        <is>
          <t>L0 Kernel</t>
        </is>
      </c>
      <c r="I518" t="inlineStr">
        <is>
          <t>Entitlement</t>
        </is>
      </c>
    </row>
    <row r="519">
      <c r="A519" t="inlineStr">
        <is>
          <t>ENT-16</t>
        </is>
      </c>
      <c r="B519" t="inlineStr">
        <is>
          <t>FOUR tiers after FOUNDER removal: FREE / PRO / ENTERPRISE / CUSTOM</t>
        </is>
      </c>
      <c r="C519" t="inlineStr">
        <is>
          <t>Entitlement</t>
        </is>
      </c>
      <c r="D519" t="inlineStr">
        <is>
          <t>P1</t>
        </is>
      </c>
      <c r="E519" t="inlineStr">
        <is>
          <t>Open</t>
        </is>
      </c>
      <c r="F519" t="inlineStr">
        <is>
          <t>coral-submodule-entitlement.md</t>
        </is>
      </c>
      <c r="G519" t="inlineStr">
        <is>
          <t>Plan vocabularies disagree FOUR ways: PLAN_LIMITS (4), PLAN_PRICING (3, no FREE), PLAN_SCAN_QUOTAS (5), Tenant.planType default FREE.</t>
        </is>
      </c>
      <c r="H519" t="inlineStr">
        <is>
          <t>L0 Kernel</t>
        </is>
      </c>
      <c r="I519" t="inlineStr">
        <is>
          <t>Entitlement</t>
        </is>
      </c>
    </row>
    <row r="520">
      <c r="A520" t="inlineStr">
        <is>
          <t>ENT-17</t>
        </is>
      </c>
      <c r="B520" t="inlineStr">
        <is>
          <t>Roles encode the tier: TENANT_FREE / TENANT_PRO_OWNER / TENANT_ENTERPRISE_*</t>
        </is>
      </c>
      <c r="C520" t="inlineStr">
        <is>
          <t>Entitlement</t>
        </is>
      </c>
      <c r="D520" t="inlineStr">
        <is>
          <t>P1</t>
        </is>
      </c>
      <c r="E520" t="inlineStr">
        <is>
          <t>Open</t>
        </is>
      </c>
      <c r="F520" t="inlineStr">
        <is>
          <t>coral-submodule-entitlement.md</t>
        </is>
      </c>
      <c r="G520" t="inlineStr">
        <is>
          <t>Plan baked into identity — authority asserted rather than asked (pd.md AUTHORITY + 5a). A role should say what someone does, not what plan they are on. User-count limits currently ride on the role name.</t>
        </is>
      </c>
      <c r="H520" t="inlineStr">
        <is>
          <t>L1 Core</t>
        </is>
      </c>
      <c r="I520" t="inlineStr">
        <is>
          <t>Entitlement</t>
        </is>
      </c>
    </row>
    <row r="521">
      <c r="A521" t="inlineStr">
        <is>
          <t>ENT-18</t>
        </is>
      </c>
      <c r="B521" t="inlineStr">
        <is>
          <t>7 of 10 April implementation gaps still open — every one is a feature reaching a tier that should not have it</t>
        </is>
      </c>
      <c r="C521" t="inlineStr">
        <is>
          <t>Entitlement</t>
        </is>
      </c>
      <c r="D521" t="inlineStr">
        <is>
          <t>P0</t>
        </is>
      </c>
      <c r="E521" t="inlineStr">
        <is>
          <t>Open</t>
        </is>
      </c>
      <c r="F521" t="inlineStr">
        <is>
          <t>coral-submodule-entitlement.md</t>
        </is>
      </c>
      <c r="G521" t="inlineStr">
        <is>
          <t>Bestek+Library on FREE, Sales on FREE, Email on PRO, File manager on PRO, TASKS module key missing, 1-pipeline cap unenforced. Same defect as ENT-6 measured independently in Sept.</t>
        </is>
      </c>
      <c r="H521" t="inlineStr">
        <is>
          <t>L2 Module</t>
        </is>
      </c>
      <c r="I521" t="inlineStr">
        <is>
          <t>Entitlement</t>
        </is>
      </c>
    </row>
    <row r="522">
      <c r="A522" t="inlineStr">
        <is>
          <t>ENT-19</t>
        </is>
      </c>
      <c r="B522" t="inlineStr">
        <is>
          <t>Free-tier pricing consequence: unlimited invoicing removes volume upgrade pressure</t>
        </is>
      </c>
      <c r="C522" t="inlineStr">
        <is>
          <t>Entitlement</t>
        </is>
      </c>
      <c r="D522" t="inlineStr">
        <is>
          <t>P1</t>
        </is>
      </c>
      <c r="E522" t="inlineStr">
        <is>
          <t>Open</t>
        </is>
      </c>
      <c r="F522" t="inlineStr">
        <is>
          <t>coral-submodule-entitlement.md</t>
        </is>
      </c>
      <c r="G522" t="inlineStr">
        <is>
          <t>Matrix sold FREE as 5 invoices/mo. 'Full financial module' makes it unlimited. Upgrade pressure must then come from projects, team size and library instead. Florin's call, flagged not challenged.</t>
        </is>
      </c>
      <c r="H522" t="inlineStr">
        <is>
          <t>—</t>
        </is>
      </c>
      <c r="I522" t="inlineStr">
        <is>
          <t>Pricing</t>
        </is>
      </c>
    </row>
    <row r="523">
      <c r="A523" t="inlineStr">
        <is>
          <t>ENT-20</t>
        </is>
      </c>
      <c r="B523" t="inlineStr">
        <is>
          <t>REMOVE FOUNDER tier — 56 references across 15 files incl. terms/page.tsx (legal copy)</t>
        </is>
      </c>
      <c r="C523" t="inlineStr">
        <is>
          <t>Entitlement</t>
        </is>
      </c>
      <c r="D523" t="inlineStr">
        <is>
          <t>P1</t>
        </is>
      </c>
      <c r="E523" t="inlineStr">
        <is>
          <t>Open</t>
        </is>
      </c>
      <c r="F523" t="inlineStr">
        <is>
          <t>coralos-feature-matrix artifact</t>
        </is>
      </c>
      <c r="G523" t="inlineStr">
        <is>
          <t>Florin 2026-09-26: 'remove founder, it is useless'. store/page.tsx (12), feature-flags.ts, TenantContext, plan-limits, stripe, tabs.ts, superadmin. Legal copy means this is a real pass.</t>
        </is>
      </c>
      <c r="H523" t="inlineStr">
        <is>
          <t>L0 Kernel</t>
        </is>
      </c>
      <c r="I523" t="inlineStr">
        <is>
          <t>Entitlement</t>
        </is>
      </c>
    </row>
    <row r="524">
      <c r="A524" t="inlineStr">
        <is>
          <t>ENT-21</t>
        </is>
      </c>
      <c r="B524" t="inlineStr">
        <is>
          <t>🔴 DEAD QUOTA TABLE: PLAN_PEPPOL_LIMITS (stripe.ts) has ZERO readers, 10x the live numbers</t>
        </is>
      </c>
      <c r="C524" t="inlineStr">
        <is>
          <t>Entitlement</t>
        </is>
      </c>
      <c r="D524" t="inlineStr">
        <is>
          <t>P0</t>
        </is>
      </c>
      <c r="E524" t="inlineStr">
        <is>
          <t>Open</t>
        </is>
      </c>
      <c r="F524" t="inlineStr">
        <is>
          <t>coralos-feature-matrix artifact</t>
        </is>
      </c>
      <c r="G524" t="inlineStr">
        <is>
          <t>Says FREE 50/mo, PRO 250, ENTERPRISE 1000. Live table PLAN_LIMITS says FREE 5 sent/10 recv, ENTERPRISE unlimited. Danger is plausibility: someone finds it first and 'fixes' the enforcing table. Delete one.</t>
        </is>
      </c>
      <c r="H524" t="inlineStr">
        <is>
          <t>L1 Core</t>
        </is>
      </c>
      <c r="I524" t="inlineStr">
        <is>
          <t>Entitlement</t>
        </is>
      </c>
    </row>
    <row r="525">
      <c r="A525" t="inlineStr">
        <is>
          <t>ENT-22</t>
        </is>
      </c>
      <c r="B525" t="inlineStr">
        <is>
          <t>G2: invoice + quotation monthly caps unenforced — the meter that is not running</t>
        </is>
      </c>
      <c r="C525" t="inlineStr">
        <is>
          <t>Entitlement</t>
        </is>
      </c>
      <c r="D525" t="inlineStr">
        <is>
          <t>P0</t>
        </is>
      </c>
      <c r="E525" t="inlineStr">
        <is>
          <t>Open</t>
        </is>
      </c>
      <c r="F525" t="inlineStr">
        <is>
          <t>coral-free-tier-readiness.md</t>
        </is>
      </c>
      <c r="G525" t="inlineStr">
        <is>
          <t>PLAN_LIMITS holds Peppol counters only. Reuse the SAME shape (counter, 1st-of-month UTC reset, named refusal). Do not invent a second mechanism. Collides with 'free gets full financials'.</t>
        </is>
      </c>
      <c r="H525" t="inlineStr">
        <is>
          <t>L1 Core</t>
        </is>
      </c>
      <c r="I525" t="inlineStr">
        <is>
          <t>Entitlement</t>
        </is>
      </c>
    </row>
    <row r="526">
      <c r="A526" t="inlineStr">
        <is>
          <t>ENT-23</t>
        </is>
      </c>
      <c r="B526" t="inlineStr">
        <is>
          <t>Batiprix: priced as a TIER (ENTERPRISE_BATIPRIX €199) but described as an opt-in add-on</t>
        </is>
      </c>
      <c r="C526" t="inlineStr">
        <is>
          <t>Entitlement</t>
        </is>
      </c>
      <c r="D526" t="inlineStr">
        <is>
          <t>P1</t>
        </is>
      </c>
      <c r="E526" t="inlineStr">
        <is>
          <t>Open</t>
        </is>
      </c>
      <c r="F526" t="inlineStr">
        <is>
          <t>coralos-feature-matrix artifact</t>
        </is>
      </c>
      <c r="G526" t="inlineStr">
        <is>
          <t>Florin 2026-09-26: 'optionally, against an opt-in, a connection to batiprix'. Add-on vs tier changes the billing model and the entitlement shape.</t>
        </is>
      </c>
      <c r="H526" t="inlineStr">
        <is>
          <t>L1 Core</t>
        </is>
      </c>
      <c r="I526" t="inlineStr">
        <is>
          <t>Entitlement</t>
        </is>
      </c>
    </row>
    <row r="527">
      <c r="A527" t="inlineStr">
        <is>
          <t>ENT-24</t>
        </is>
      </c>
      <c r="B527" t="inlineStr">
        <is>
          <t>FREE is not a trial outcome — the two concepts are separate (Florin 2026-09-26)</t>
        </is>
      </c>
      <c r="C527" t="inlineStr">
        <is>
          <t>Entitlement</t>
        </is>
      </c>
      <c r="D527" t="inlineStr">
        <is>
          <t>P1</t>
        </is>
      </c>
      <c r="E527" t="inlineStr">
        <is>
          <t>Open</t>
        </is>
      </c>
      <c r="F527" t="inlineStr">
        <is>
          <t>coral-free-tier-readiness.md</t>
        </is>
      </c>
      <c r="G527" t="inlineStr">
        <is>
          <t>Planner had described FREE as 'only reachable by a lapse' — that described the CODE's confusion (trial -&gt; PAST_DUE -&gt; INACTIVE), not the business logic. FREE is a product; the trial is a temporary grant of a higher tier. See coral-trial-vs-free.md.</t>
        </is>
      </c>
      <c r="H527" t="inlineStr">
        <is>
          <t>L1 Core</t>
        </is>
      </c>
      <c r="I527" t="inlineStr">
        <is>
          <t>Entitlement</t>
        </is>
      </c>
    </row>
    <row r="528">
      <c r="A528" t="inlineStr">
        <is>
          <t>LIB-1</t>
        </is>
      </c>
      <c r="B528" t="inlineStr">
        <is>
          <t>Library tiering: FREE none · PRO empty (self-filled) · ENTERPRISE populated + Batiprix opt-in</t>
        </is>
      </c>
      <c r="C528" t="inlineStr">
        <is>
          <t>Library</t>
        </is>
      </c>
      <c r="D528" t="inlineStr">
        <is>
          <t>P1</t>
        </is>
      </c>
      <c r="E528" t="inlineStr">
        <is>
          <t>Open</t>
        </is>
      </c>
      <c r="F528" t="inlineStr">
        <is>
          <t>coralos-feature-matrix artifact</t>
        </is>
      </c>
      <c r="G528" t="inlineStr">
        <is>
          <t>Florin 2026-09-26. Free gets the quote ENGINE with no catalogue — nothing persists to articles/bestek. That is the upgrade pressure replacing the April volume cap.</t>
        </is>
      </c>
      <c r="H528" t="inlineStr">
        <is>
          <t>L2 Module</t>
        </is>
      </c>
      <c r="I528" t="inlineStr">
        <is>
          <t>Library</t>
        </is>
      </c>
    </row>
    <row r="529">
      <c r="A529" t="inlineStr">
        <is>
          <t>TRIAL-1</t>
        </is>
      </c>
      <c r="B529" t="inlineStr">
        <is>
          <t>Trial is an ENTITLEMENT OVERLAY — it must never write planType</t>
        </is>
      </c>
      <c r="C529" t="inlineStr">
        <is>
          <t>Billing</t>
        </is>
      </c>
      <c r="D529" t="inlineStr">
        <is>
          <t>P0</t>
        </is>
      </c>
      <c r="E529" t="inlineStr">
        <is>
          <t>Open</t>
        </is>
      </c>
      <c r="F529" t="inlineStr">
        <is>
          <t>coral-trial-vs-free.md</t>
        </is>
      </c>
      <c r="G529" t="inlineStr">
        <is>
          <t>trial.ts:40 startTrial calls syncPlanToTenant: a tenant trialling PRO BECOMES PRO, destroying their real tier. Replace with Tenant.trialGrant {tier, entitlements, expiresAt}. Expiry = overlay lapses, nothing downgraded.</t>
        </is>
      </c>
      <c r="H529" t="inlineStr">
        <is>
          <t>L1 Core</t>
        </is>
      </c>
      <c r="I529" t="inlineStr">
        <is>
          <t>Entitlement</t>
        </is>
      </c>
    </row>
    <row r="530">
      <c r="A530" t="inlineStr">
        <is>
          <t>TRIAL-2</t>
        </is>
      </c>
      <c r="B530" t="inlineStr">
        <is>
          <t>🔴 Trial expiry currently sets PAST_DUE then INACTIVE — a payment failure, then a block</t>
        </is>
      </c>
      <c r="C530" t="inlineStr">
        <is>
          <t>Billing</t>
        </is>
      </c>
      <c r="D530" t="inlineStr">
        <is>
          <t>P0</t>
        </is>
      </c>
      <c r="E530" t="inlineStr">
        <is>
          <t>Open</t>
        </is>
      </c>
      <c r="F530" t="inlineStr">
        <is>
          <t>coral-trial-vs-free.md</t>
        </is>
      </c>
      <c r="G530" t="inlineStr">
        <is>
          <t>trial.ts:121-160. Nothing was owed and no payment failed. A lapsed trial must leave a working tenant on their own tier. Blocking a FREE tenant because they tried PRO is the bug this design prevents.</t>
        </is>
      </c>
      <c r="H530" t="inlineStr">
        <is>
          <t>L1 Core</t>
        </is>
      </c>
      <c r="I530" t="inlineStr">
        <is>
          <t>Entitlement</t>
        </is>
      </c>
    </row>
    <row r="531">
      <c r="A531" t="inlineStr">
        <is>
          <t>TRIAL-3</t>
        </is>
      </c>
      <c r="B531" t="inlineStr">
        <is>
          <t>subscriptionStatus must mean PAYMENT only — it currently also encodes TRIAL</t>
        </is>
      </c>
      <c r="C531" t="inlineStr">
        <is>
          <t>Billing</t>
        </is>
      </c>
      <c r="D531" t="inlineStr">
        <is>
          <t>P1</t>
        </is>
      </c>
      <c r="E531" t="inlineStr">
        <is>
          <t>Open</t>
        </is>
      </c>
      <c r="F531" t="inlineStr">
        <is>
          <t>coral-trial-vs-free.md</t>
        </is>
      </c>
      <c r="G531" t="inlineStr">
        <is>
          <t>planType says PRO, subscriptionStatus says TRIAL: two fields carrying one fact, agreeing by convention.</t>
        </is>
      </c>
      <c r="H531" t="inlineStr">
        <is>
          <t>L1 Core</t>
        </is>
      </c>
      <c r="I531" t="inlineStr">
        <is>
          <t>Entitlement</t>
        </is>
      </c>
    </row>
    <row r="532">
      <c r="A532" t="inlineStr">
        <is>
          <t>TRIAL-4</t>
        </is>
      </c>
      <c r="B532" t="inlineStr">
        <is>
          <t>PRO tenant trialling ENTERPRISE is INEXPRESSIBLE in the current model</t>
        </is>
      </c>
      <c r="C532" t="inlineStr">
        <is>
          <t>Billing</t>
        </is>
      </c>
      <c r="D532" t="inlineStr">
        <is>
          <t>P0</t>
        </is>
      </c>
      <c r="E532" t="inlineStr">
        <is>
          <t>Open</t>
        </is>
      </c>
      <c r="F532" t="inlineStr">
        <is>
          <t>coral-trial-vs-free.md</t>
        </is>
      </c>
      <c r="G532" t="inlineStr">
        <is>
          <t>Because planType is overwritten there is nothing to revert to. This case is the proof the overlay works. Florin 2026-09-26: a client may want to try the higher tier directly.</t>
        </is>
      </c>
      <c r="H532" t="inlineStr">
        <is>
          <t>L1 Core</t>
        </is>
      </c>
      <c r="I532" t="inlineStr">
        <is>
          <t>Entitlement</t>
        </is>
      </c>
    </row>
    <row r="533">
      <c r="A533" t="inlineStr">
        <is>
          <t>TRIAL-5</t>
        </is>
      </c>
      <c r="B533" t="inlineStr">
        <is>
          <t>TWO different things are called 'trial': entitlement trial vs Stripe payment trial</t>
        </is>
      </c>
      <c r="C533" t="inlineStr">
        <is>
          <t>Billing</t>
        </is>
      </c>
      <c r="D533" t="inlineStr">
        <is>
          <t>P1</t>
        </is>
      </c>
      <c r="E533" t="inlineStr">
        <is>
          <t>Open</t>
        </is>
      </c>
      <c r="F533" t="inlineStr">
        <is>
          <t>coral-trial-vs-free.md</t>
        </is>
      </c>
      <c r="G533" t="inlineStr">
        <is>
          <t>P10 retired the Stripe payment trial (trial_period_days) and should never have touched the entitlement trial. Keep checkout/route.ts parked; un-park only the entitlement side.</t>
        </is>
      </c>
      <c r="H533" t="inlineStr">
        <is>
          <t>L1 Core</t>
        </is>
      </c>
      <c r="I533" t="inlineStr">
        <is>
          <t>Entitlement</t>
        </is>
      </c>
    </row>
    <row r="534">
      <c r="A534" t="inlineStr">
        <is>
          <t>TRIAL-6</t>
        </is>
      </c>
      <c r="B534" t="inlineStr">
        <is>
          <t>trialHistory: one trial per tenant per tier, remembered after the grant is cleared</t>
        </is>
      </c>
      <c r="C534" t="inlineStr">
        <is>
          <t>Billing</t>
        </is>
      </c>
      <c r="D534" t="inlineStr">
        <is>
          <t>P2</t>
        </is>
      </c>
      <c r="E534" t="inlineStr">
        <is>
          <t>Open</t>
        </is>
      </c>
      <c r="F534" t="inlineStr">
        <is>
          <t>coral-trial-vs-free.md</t>
        </is>
      </c>
      <c r="G534" t="inlineStr">
        <is>
          <t>Checking whether trialGrant is null forgets. Durations already derive correctly from PLAN_PRICING.trialMonths (PRO 3 / ENTERPRISE 2).</t>
        </is>
      </c>
      <c r="H534" t="inlineStr">
        <is>
          <t>L1 Core</t>
        </is>
      </c>
      <c r="I534" t="inlineStr">
        <is>
          <t>Entitlement</t>
        </is>
      </c>
    </row>
  </sheetData>
  <autoFilter ref="A1:G334"/>
  <dataValidations count="1">
    <dataValidation sqref="E2:E203" showDropDown="0" showInputMessage="0" showErrorMessage="0" allowBlank="1" type="list">
      <formula1>"Open,In progress,Done,Blocked,Dropped"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 width="14" customWidth="1" min="3" max="3"/>
    <col width="10" customWidth="1" min="4" max="4"/>
  </cols>
  <sheetData>
    <row r="1" ht="22" customHeight="1">
      <c r="A1" s="1" t="inlineStr">
        <is>
          <t>ID</t>
        </is>
      </c>
      <c r="B1" s="1" t="inlineStr">
        <is>
          <t>Action</t>
        </is>
      </c>
      <c r="C1" s="1" t="inlineStr">
        <is>
          <t>Status</t>
        </is>
      </c>
      <c r="D1" s="1" t="inlineStr">
        <is>
          <t>Priority</t>
        </is>
      </c>
    </row>
    <row r="2">
      <c r="A2" s="2" t="inlineStr">
        <is>
          <t>ATT-5</t>
        </is>
      </c>
      <c r="B2" s="3" t="inlineStr">
        <is>
          <t>Re-send invoices already sent with annexes selected (went out PDF-only)</t>
        </is>
      </c>
      <c r="C2" s="5" t="inlineStr">
        <is>
          <t>Done</t>
        </is>
      </c>
      <c r="D2" s="2" t="inlineStr">
        <is>
          <t>P0</t>
        </is>
      </c>
    </row>
    <row r="3">
      <c r="A3" s="2" t="inlineStr">
        <is>
          <t>HR-5</t>
        </is>
      </c>
      <c r="B3" s="3" t="inlineStr">
        <is>
          <t>Extend Neon PITR window + set snapshot schedule</t>
        </is>
      </c>
      <c r="C3" s="2" t="inlineStr">
        <is>
          <t>Done</t>
        </is>
      </c>
      <c r="D3" s="2" t="inlineStr">
        <is>
          <t>P1</t>
        </is>
      </c>
    </row>
    <row r="4">
      <c r="A4" s="2" t="inlineStr">
        <is>
          <t>DEPLOY</t>
        </is>
      </c>
      <c r="B4" s="3" t="inlineStr">
        <is>
          <t>Push / deploy / migrations — Florin runs all of these</t>
        </is>
      </c>
      <c r="C4" s="2" t="inlineStr">
        <is>
          <t>Ongoing</t>
        </is>
      </c>
      <c r="D4" s="2" t="inlineStr">
        <is>
          <t>—</t>
        </is>
      </c>
    </row>
    <row r="5">
      <c r="A5" s="2" t="inlineStr">
        <is>
          <t>ROADMAP</t>
        </is>
      </c>
      <c r="B5" s="3" t="inlineStr">
        <is>
          <t>Mark items noticed in use here, e.g. "to-do P4: ..."</t>
        </is>
      </c>
      <c r="C5" s="2" t="inlineStr">
        <is>
          <t>Ongoing</t>
        </is>
      </c>
      <c r="D5" s="2" t="inlineStr">
        <is>
          <t>—</t>
        </is>
      </c>
    </row>
    <row r="6">
      <c r="A6" s="2" t="inlineStr">
        <is>
          <t>MEM-3c</t>
        </is>
      </c>
      <c r="B6" s="3" t="inlineStr">
        <is>
          <t>Verify the flagged lazy-load on real data for a week before removing the flag</t>
        </is>
      </c>
      <c r="C6" s="2" t="inlineStr">
        <is>
          <t>Open</t>
        </is>
      </c>
      <c r="D6" s="2" t="inlineStr">
        <is>
          <t>P1</t>
        </is>
      </c>
    </row>
    <row r="7">
      <c r="A7" s="2" t="inlineStr">
        <is>
          <t>ACCT-DECISIONS</t>
        </is>
      </c>
      <c r="B7" s="3" t="inlineStr">
        <is>
          <t>Decide accountant sharing: mechanism, channel, export format, cadence, scope</t>
        </is>
      </c>
      <c r="C7" s="2" t="inlineStr">
        <is>
          <t>Open</t>
        </is>
      </c>
      <c r="D7" s="2" t="inlineStr">
        <is>
          <t>P2</t>
        </is>
      </c>
    </row>
    <row r="8">
      <c r="A8" s="2" t="inlineStr">
        <is>
          <t>TENANTS</t>
        </is>
      </c>
      <c r="B8" s="3" t="inlineStr">
        <is>
          <t>Decide when to open free tier / onboard first tenants</t>
        </is>
      </c>
      <c r="C8" s="2" t="inlineStr">
        <is>
          <t>Open</t>
        </is>
      </c>
      <c r="D8" s="2" t="inlineStr">
        <is>
          <t>P2</t>
        </is>
      </c>
    </row>
    <row r="9">
      <c r="A9" s="11" t="inlineStr">
        <is>
          <t>MAIL-3</t>
        </is>
      </c>
      <c r="B9" s="11" t="inlineStr">
        <is>
          <t>After MAIL-1 ships: send one invoice, report the toast text</t>
        </is>
      </c>
      <c r="C9" s="16" t="inlineStr">
        <is>
          <t>Done</t>
        </is>
      </c>
      <c r="D9" s="11" t="inlineStr">
        <is>
          <t>P1</t>
        </is>
      </c>
    </row>
    <row r="10">
      <c r="A10" s="11" t="inlineStr">
        <is>
          <t>BLOB-4</t>
        </is>
      </c>
      <c r="B10" s="11" t="inlineStr">
        <is>
          <t>DECIDED: strict / all-or-nothing. No partial accountant exports.</t>
        </is>
      </c>
      <c r="C10" s="16" t="inlineStr">
        <is>
          <t>Done</t>
        </is>
      </c>
      <c r="D10" s="11" t="inlineStr">
        <is>
          <t>P0</t>
        </is>
      </c>
    </row>
    <row r="11">
      <c r="A11" s="11" t="inlineStr">
        <is>
          <t>BLOB-4b</t>
        </is>
      </c>
      <c r="B11" s="11" t="inlineStr">
        <is>
          <t>After BLOB-4: list records already stamped accountantExportedAt whose PDF never shipped, and close the gap by hand (bookkeeping)</t>
        </is>
      </c>
      <c r="C11" s="11" t="inlineStr">
        <is>
          <t>Open</t>
        </is>
      </c>
      <c r="D11" s="11" t="inlineStr">
        <is>
          <t>P1</t>
        </is>
      </c>
    </row>
    <row r="12">
      <c r="A12" s="11" t="inlineStr">
        <is>
          <t>SYSTEMS-PASS</t>
        </is>
      </c>
      <c r="B12" s="11" t="inlineStr">
        <is>
          <t>APPROVE or re-cut the root order in coral-systems-pass.md (key claim: the grid is a leaf of the write path, not a root)</t>
        </is>
      </c>
      <c r="C12" s="11" t="inlineStr">
        <is>
          <t>Open</t>
        </is>
      </c>
      <c r="D12" s="11" t="inlineStr">
        <is>
          <t>P0</t>
        </is>
      </c>
    </row>
    <row r="13">
      <c r="A13" s="11" t="inlineStr">
        <is>
          <t>SEC-TEST-ROUTE</t>
        </is>
      </c>
      <c r="B13" s="11" t="inlineStr">
        <is>
          <t>Delete /api/test-payment-plan, or tell me to hand it to the coder</t>
        </is>
      </c>
      <c r="C13" s="11" t="inlineStr">
        <is>
          <t>Open</t>
        </is>
      </c>
      <c r="D13" s="11" t="inlineStr">
        <is>
          <t>P0</t>
        </is>
      </c>
    </row>
    <row r="14">
      <c r="A14" s="11" t="inlineStr">
        <is>
          <t>BLOB-0</t>
        </is>
      </c>
      <c r="B14" s="11" t="inlineStr">
        <is>
          <t>Run blob-0-census.sql in Neon (query 1) — Neon not reachable from my side</t>
        </is>
      </c>
      <c r="C14" s="16" t="inlineStr">
        <is>
          <t>Done</t>
        </is>
      </c>
      <c r="D14" s="11" t="inlineStr">
        <is>
          <t>P1</t>
        </is>
      </c>
    </row>
    <row r="15">
      <c r="A15" s="11" t="inlineStr">
        <is>
          <t>EXPORT-LOCK-CORE</t>
        </is>
      </c>
      <c r="B15" s="11" t="inlineStr">
        <is>
          <t>DECIDE: patch the exported-document edit lock into app/actions/pages.ts now, or wait for R2-1</t>
        </is>
      </c>
      <c r="C15" s="16" t="inlineStr">
        <is>
          <t>Done</t>
        </is>
      </c>
      <c r="D15" s="11" t="inlineStr">
        <is>
          <t>P0</t>
        </is>
      </c>
    </row>
    <row r="16">
      <c r="A16" s="11" t="inlineStr">
        <is>
          <t>DOC-ARCH-5</t>
        </is>
      </c>
      <c r="B16" s="11" t="inlineStr">
        <is>
          <t>DECIDED: no bulk backfill; reconstruct manually as needed</t>
        </is>
      </c>
      <c r="C16" s="16" t="inlineStr">
        <is>
          <t>Done</t>
        </is>
      </c>
      <c r="D16" s="11" t="inlineStr">
        <is>
          <t>P2</t>
        </is>
      </c>
    </row>
    <row r="17">
      <c r="A17" s="11" t="inlineStr">
        <is>
          <t>TASK-A-E1</t>
        </is>
      </c>
      <c r="B17" s="11" t="inlineStr">
        <is>
          <t>DECIDED: remove dependencies entirely; subtasks instead</t>
        </is>
      </c>
      <c r="C17" s="16" t="inlineStr">
        <is>
          <t>Done</t>
        </is>
      </c>
      <c r="D17" s="11" t="inlineStr">
        <is>
          <t>P0</t>
        </is>
      </c>
    </row>
    <row r="18">
      <c r="A18" s="11" t="inlineStr">
        <is>
          <t>R2-6</t>
        </is>
      </c>
      <c r="B18" s="11" t="inlineStr">
        <is>
          <t>DECIDED: (c) hybrid — site visit must survive signal loss</t>
        </is>
      </c>
      <c r="C18" s="16" t="inlineStr">
        <is>
          <t>Done</t>
        </is>
      </c>
      <c r="D18" s="11" t="inlineStr">
        <is>
          <t>P0</t>
        </is>
      </c>
    </row>
    <row r="19">
      <c r="A19" s="11" t="inlineStr">
        <is>
          <t>SEQUENCE</t>
        </is>
      </c>
      <c r="B19" s="11" t="inlineStr">
        <is>
          <t>coral-execution-order.md is now the single binding sequence — overrides every spec ORDER section</t>
        </is>
      </c>
      <c r="C19" s="11" t="inlineStr">
        <is>
          <t>Done</t>
        </is>
      </c>
      <c r="D19" s="11" t="inlineStr">
        <is>
          <t>—</t>
        </is>
      </c>
    </row>
    <row r="20">
      <c r="A20" s="11" t="inlineStr">
        <is>
          <t>R2-6</t>
        </is>
      </c>
      <c r="B20" s="11" t="inlineStr">
        <is>
          <t>DECIDED: (c) hybrid — site visit must survive signal loss</t>
        </is>
      </c>
      <c r="C20" s="16" t="inlineStr">
        <is>
          <t>Done</t>
        </is>
      </c>
      <c r="D20" s="11" t="inlineStr">
        <is>
          <t>P1</t>
        </is>
      </c>
    </row>
    <row r="21">
      <c r="A21" s="11" t="inlineStr">
        <is>
          <t>PROMOTION</t>
        </is>
      </c>
      <c r="B21" s="11" t="inlineStr">
        <is>
          <t>Read coral-promotion-plan.md §2 — what changes for you on day one, esp. exported records becoming read-only</t>
        </is>
      </c>
      <c r="C21" s="11" t="inlineStr">
        <is>
          <t>Open</t>
        </is>
      </c>
      <c r="D21" s="11" t="inlineStr">
        <is>
          <t>P0</t>
        </is>
      </c>
    </row>
    <row r="22">
      <c r="A22" s="11" t="inlineStr">
        <is>
          <t>TASK-STATUS-38</t>
        </is>
      </c>
      <c r="B22" s="11" t="inlineStr">
        <is>
          <t>DO NOT RUN the UPDATE — retracted. Step 1 count was the finding</t>
        </is>
      </c>
      <c r="C22" s="16" t="inlineStr">
        <is>
          <t>Done</t>
        </is>
      </c>
      <c r="D22" s="11" t="inlineStr">
        <is>
          <t>P0</t>
        </is>
      </c>
    </row>
    <row r="23">
      <c r="A23" s="11" t="inlineStr">
        <is>
          <t>TASK-M15</t>
        </is>
      </c>
      <c r="B23" s="11" t="inlineStr">
        <is>
          <t>DECIDED: email digest now; SMS later, driven by 2FA</t>
        </is>
      </c>
      <c r="C23" s="16" t="inlineStr">
        <is>
          <t>Done</t>
        </is>
      </c>
      <c r="D23" s="11" t="inlineStr">
        <is>
          <t>P1</t>
        </is>
      </c>
    </row>
    <row r="24">
      <c r="A24" s="11" t="inlineStr">
        <is>
          <t>SMS-0</t>
        </is>
      </c>
      <c r="B24" s="11" t="inlineStr">
        <is>
          <t>Sweego trial: BE delivery + CORAL sender ID to your phone and one crew phone</t>
        </is>
      </c>
      <c r="C24" s="11" t="inlineStr">
        <is>
          <t>Open</t>
        </is>
      </c>
      <c r="D24" s="11" t="inlineStr">
        <is>
          <t>P2</t>
        </is>
      </c>
    </row>
  </sheetData>
  <autoFilter ref="A1:D8"/>
  <dataValidations count="1">
    <dataValidation sqref="C2:C8" showDropDown="0" showInputMessage="0" showErrorMessage="0" allowBlank="1" type="list">
      <formula1>"Open,In progress,Done,Ongoing"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s>
  <sheetData>
    <row r="1" ht="22" customHeight="1">
      <c r="A1" s="1" t="inlineStr">
        <is>
          <t>Metric</t>
        </is>
      </c>
      <c r="B1" s="1" t="inlineStr">
        <is>
          <t>Count</t>
        </is>
      </c>
    </row>
    <row r="2">
      <c r="A2" s="2" t="inlineStr">
        <is>
          <t>Total items</t>
        </is>
      </c>
      <c r="B2" s="3">
        <f>COUNTA(Roadmap!A2:A334)</f>
        <v/>
      </c>
    </row>
    <row r="3">
      <c r="A3" s="2" t="inlineStr">
        <is>
          <t>Open</t>
        </is>
      </c>
      <c r="B3" s="3">
        <f>COUNTIF(Roadmap!E2:E334,"Open")</f>
        <v/>
      </c>
    </row>
    <row r="4">
      <c r="A4" s="2" t="inlineStr">
        <is>
          <t>In progress</t>
        </is>
      </c>
      <c r="B4" s="3">
        <f>COUNTIF(Roadmap!E2:E334,"In progress")</f>
        <v/>
      </c>
    </row>
    <row r="5">
      <c r="A5" s="2" t="inlineStr">
        <is>
          <t>Done</t>
        </is>
      </c>
      <c r="B5" s="3">
        <f>COUNTIF(Roadmap!E2:E334,"Done")</f>
        <v/>
      </c>
    </row>
    <row r="6">
      <c r="A6" s="2" t="inlineStr"/>
      <c r="B6" s="3" t="inlineStr"/>
    </row>
    <row r="7">
      <c r="A7" s="2" t="inlineStr">
        <is>
          <t>P0 total</t>
        </is>
      </c>
      <c r="B7" s="3">
        <f>COUNTIF(Roadmap!D2:D334,"P0")</f>
        <v/>
      </c>
    </row>
    <row r="8">
      <c r="A8" s="2" t="inlineStr">
        <is>
          <t>P0 still open</t>
        </is>
      </c>
      <c r="B8" s="3">
        <f>COUNTIFS(Roadmap!D2:D334,"P0",Roadmap!E2:E334,"Open")</f>
        <v/>
      </c>
    </row>
    <row r="9">
      <c r="A9" s="2" t="inlineStr">
        <is>
          <t>P1 total</t>
        </is>
      </c>
      <c r="B9" s="3">
        <f>COUNTIF(Roadmap!D2:D334,"P1")</f>
        <v/>
      </c>
    </row>
    <row r="10">
      <c r="A10" s="2" t="inlineStr">
        <is>
          <t>P1 still open</t>
        </is>
      </c>
      <c r="B10" s="3">
        <f>COUNTIFS(Roadmap!D2:D334,"P1",Roadmap!E2:E334,"Open")</f>
        <v/>
      </c>
    </row>
    <row r="11">
      <c r="A11" s="2" t="inlineStr">
        <is>
          <t>P2 total</t>
        </is>
      </c>
      <c r="B11" s="3">
        <f>COUNTIF(Roadmap!D2:D334,"P2")</f>
        <v/>
      </c>
    </row>
    <row r="12">
      <c r="A12" s="2" t="inlineStr">
        <is>
          <t>P2 still open</t>
        </is>
      </c>
      <c r="B12" s="3">
        <f>COUNTIFS(Roadmap!D2:D334,"P2",Roadmap!E2:E334,"Open")</f>
        <v/>
      </c>
    </row>
    <row r="13">
      <c r="A13" s="2" t="inlineStr">
        <is>
          <t>P3 total</t>
        </is>
      </c>
      <c r="B13" s="3">
        <f>COUNTIF(Roadmap!D2:D334,"P3")</f>
        <v/>
      </c>
    </row>
    <row r="14">
      <c r="A14" s="2" t="inlineStr">
        <is>
          <t>P3 still open</t>
        </is>
      </c>
      <c r="B14" s="3">
        <f>COUNTIFS(Roadmap!D2:D334,"P3",Roadmap!E2:E334,"Open")</f>
        <v/>
      </c>
    </row>
    <row r="15">
      <c r="A15" s="2" t="inlineStr">
        <is>
          <t>P4 total</t>
        </is>
      </c>
      <c r="B15" s="3">
        <f>COUNTIF(Roadmap!D2:D334,"P4")</f>
        <v/>
      </c>
    </row>
    <row r="16">
      <c r="A16" s="2" t="inlineStr">
        <is>
          <t>P4 still open</t>
        </is>
      </c>
      <c r="B16" s="3">
        <f>COUNTIFS(Roadmap!D2:D334,"P4",Roadmap!E2:E334,"Open")</f>
        <v/>
      </c>
    </row>
    <row r="17">
      <c r="A17" s="2" t="inlineStr"/>
      <c r="B17" s="3" t="inlineStr"/>
    </row>
    <row r="18">
      <c r="A18" s="2" t="inlineStr">
        <is>
          <t>By module — open</t>
        </is>
      </c>
      <c r="B18" s="3" t="inlineStr"/>
    </row>
    <row r="19">
      <c r="A19" s="2" t="inlineStr">
        <is>
          <t>Automations</t>
        </is>
      </c>
      <c r="B19" s="3">
        <f>COUNTIFS(Roadmap!C2:C334,"Automations",Roadmap!E2:E334,"Open")</f>
        <v/>
      </c>
    </row>
    <row r="20">
      <c r="A20" s="2" t="inlineStr">
        <is>
          <t>Calendar</t>
        </is>
      </c>
      <c r="B20" s="3">
        <f>COUNTIFS(Roadmap!C2:C334,"Calendar",Roadmap!E2:E334,"Open")</f>
        <v/>
      </c>
    </row>
    <row r="21">
      <c r="A21" s="2" t="inlineStr">
        <is>
          <t>Email attachments</t>
        </is>
      </c>
      <c r="B21" s="3">
        <f>COUNTIFS(Roadmap!C2:C334,"Email attachments",Roadmap!E2:E334,"Open")</f>
        <v/>
      </c>
    </row>
    <row r="22">
      <c r="A22" s="2" t="inlineStr">
        <is>
          <t>Engine · Grid</t>
        </is>
      </c>
      <c r="B22" s="3">
        <f>COUNTIFS(Roadmap!C2:C334,"Engine · Grid",Roadmap!E2:E334,"Open")</f>
        <v/>
      </c>
    </row>
    <row r="23">
      <c r="A23" s="2" t="inlineStr">
        <is>
          <t>Engine · Relations</t>
        </is>
      </c>
      <c r="B23" s="3">
        <f>COUNTIFS(Roadmap!C2:C334,"Engine · Relations",Roadmap!E2:E334,"Open")</f>
        <v/>
      </c>
    </row>
    <row r="24">
      <c r="A24" s="2" t="inlineStr">
        <is>
          <t>Finance · Invoice protest</t>
        </is>
      </c>
      <c r="B24" s="3">
        <f>COUNTIFS(Roadmap!C2:C334,"Finance · Invoice protest",Roadmap!E2:E334,"Open")</f>
        <v/>
      </c>
    </row>
    <row r="25">
      <c r="A25" s="2" t="inlineStr">
        <is>
          <t>Finance · Purchase invoices</t>
        </is>
      </c>
      <c r="B25" s="3">
        <f>COUNTIFS(Roadmap!C2:C334,"Finance · Purchase invoices",Roadmap!E2:E334,"Open")</f>
        <v/>
      </c>
    </row>
    <row r="26">
      <c r="A26" s="2" t="inlineStr">
        <is>
          <t>Finance · Purchase orders</t>
        </is>
      </c>
      <c r="B26" s="3">
        <f>COUNTIFS(Roadmap!C2:C334,"Finance · Purchase orders",Roadmap!E2:E334,"Open")</f>
        <v/>
      </c>
    </row>
    <row r="27">
      <c r="A27" s="2" t="inlineStr">
        <is>
          <t>HR · Timesheet reporting</t>
        </is>
      </c>
      <c r="B27" s="3">
        <f>COUNTIFS(Roadmap!C2:C334,"HR · Timesheet reporting",Roadmap!E2:E334,"Open")</f>
        <v/>
      </c>
    </row>
    <row r="28">
      <c r="A28" s="2" t="inlineStr">
        <is>
          <t>HR · Timesheets page</t>
        </is>
      </c>
      <c r="B28" s="3">
        <f>COUNTIFS(Roadmap!C2:C334,"HR · Timesheets page",Roadmap!E2:E334,"Open")</f>
        <v/>
      </c>
    </row>
    <row r="29">
      <c r="A29" s="2" t="inlineStr">
        <is>
          <t>Mobile</t>
        </is>
      </c>
      <c r="B29" s="3">
        <f>COUNTIFS(Roadmap!C2:C334,"Mobile",Roadmap!E2:E334,"Open")</f>
        <v/>
      </c>
    </row>
    <row r="30">
      <c r="A30" s="2" t="inlineStr">
        <is>
          <t>Mobile / PWA</t>
        </is>
      </c>
      <c r="B30" s="3">
        <f>COUNTIFS(Roadmap!C2:C334,"Mobile / PWA",Roadmap!E2:E334,"Open")</f>
        <v/>
      </c>
    </row>
    <row r="31">
      <c r="A31" s="2" t="inlineStr">
        <is>
          <t>Performance · Memory</t>
        </is>
      </c>
      <c r="B31" s="3">
        <f>COUNTIFS(Roadmap!C2:C334,"Performance · Memory",Roadmap!E2:E334,"Open")</f>
        <v/>
      </c>
    </row>
    <row r="32">
      <c r="A32" s="2" t="inlineStr">
        <is>
          <t>Pro Hardening</t>
        </is>
      </c>
      <c r="B32" s="3">
        <f>COUNTIFS(Roadmap!C2:C334,"Pro Hardening",Roadmap!E2:E334,"Open")</f>
        <v/>
      </c>
    </row>
    <row r="33">
      <c r="A33" s="2" t="inlineStr">
        <is>
          <t>Projects</t>
        </is>
      </c>
      <c r="B33" s="3">
        <f>COUNTIFS(Roadmap!C2:C334,"Projects",Roadmap!E2:E334,"Open")</f>
        <v/>
      </c>
    </row>
    <row r="34">
      <c r="A34" s="2" t="inlineStr">
        <is>
          <t>Reliability</t>
        </is>
      </c>
      <c r="B34" s="3">
        <f>COUNTIFS(Roadmap!C2:C334,"Reliability",Roadmap!E2:E334,"Open")</f>
        <v/>
      </c>
    </row>
    <row r="35">
      <c r="A35" s="2" t="inlineStr">
        <is>
          <t>Scan · Receipt bulk</t>
        </is>
      </c>
      <c r="B35" s="3">
        <f>COUNTIFS(Roadmap!C2:C334,"Scan · Receipt bulk",Roadmap!E2:E334,"Open")</f>
        <v/>
      </c>
    </row>
    <row r="36">
      <c r="A36" s="2" t="inlineStr">
        <is>
          <t>Triage / core</t>
        </is>
      </c>
      <c r="B36" s="3">
        <f>COUNTIFS(Roadmap!C2:C334,"Triage / core",Roadmap!E2:E334,"Open")</f>
        <v/>
      </c>
    </row>
    <row r="38">
      <c r="A38" s="29" t="inlineStr">
        <is>
          <t>BY MAP LAYER</t>
        </is>
      </c>
    </row>
    <row r="39">
      <c r="A39" t="inlineStr">
        <is>
          <t>L0</t>
        </is>
      </c>
      <c r="B39" t="n">
        <v>21</v>
      </c>
    </row>
    <row r="40">
      <c r="A40" t="inlineStr">
        <is>
          <t>L1</t>
        </is>
      </c>
      <c r="B40" t="n">
        <v>84</v>
      </c>
    </row>
    <row r="41">
      <c r="A41" t="inlineStr">
        <is>
          <t>GATE</t>
        </is>
      </c>
      <c r="B41" t="n">
        <v>12</v>
      </c>
    </row>
    <row r="42">
      <c r="A42" t="inlineStr">
        <is>
          <t>L2</t>
        </is>
      </c>
      <c r="B42" t="n">
        <v>20</v>
      </c>
    </row>
    <row r="43">
      <c r="A43" t="inlineStr">
        <is>
          <t>MODULE GATE</t>
        </is>
      </c>
      <c r="B43" t="n">
        <v>2</v>
      </c>
    </row>
    <row r="44">
      <c r="A44" t="inlineStr">
        <is>
          <t>L3</t>
        </is>
      </c>
      <c r="B44" t="n">
        <v>184</v>
      </c>
    </row>
    <row r="45">
      <c r="A45" t="inlineStr">
        <is>
          <t>L4</t>
        </is>
      </c>
      <c r="B45" t="n">
        <v>2</v>
      </c>
    </row>
    <row r="46">
      <c r="A46" t="inlineStr">
        <is>
          <t>⟂</t>
        </is>
      </c>
      <c r="B46" t="n">
        <v>8</v>
      </c>
    </row>
  </sheetData>
  <autoFilter ref="A1:B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2026-09-09T05:16:38Z</dcterms:created>
  <dcterms:modified xmlns:dcterms="http://purl.org/dc/terms/" xmlns:xsi="http://www.w3.org/2001/XMLSchema-instance" xsi:type="dcterms:W3CDTF">2026-09-26T14:56:31Z</dcterms:modified>
</cp:coreProperties>
</file>